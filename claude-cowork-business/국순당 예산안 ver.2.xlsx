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.(26년상반기)예산안" sheetId="1" r:id="rId5"/>
    <sheet state="visible" name="(26년상반기)예산 개요 (ver.2)" sheetId="2" r:id="rId6"/>
    <sheet state="visible" name="개별 단가" sheetId="3" r:id="rId7"/>
    <sheet state="visible" name="시나리오" sheetId="4" r:id="rId8"/>
    <sheet state="visible" name="26.01" sheetId="5" r:id="rId9"/>
    <sheet state="visible" name="(archive)★단가표" sheetId="6" r:id="rId10"/>
    <sheet state="visible" name="25.0809" sheetId="7" r:id="rId11"/>
    <sheet state="visible" name="25.10" sheetId="8" r:id="rId12"/>
    <sheet state="visible" name="25.11" sheetId="9" r:id="rId13"/>
    <sheet state="visible" name="25.12" sheetId="10" r:id="rId14"/>
    <sheet state="hidden" name="(점검본)25.0809" sheetId="11" r:id="rId15"/>
    <sheet state="hidden" name="(CH 재조정)25.0809" sheetId="12" r:id="rId16"/>
    <sheet state="hidden" name="1차작성 (26년상반기)예산안" sheetId="13" r:id="rId17"/>
  </sheets>
  <definedNames/>
  <calcPr/>
</workbook>
</file>

<file path=xl/sharedStrings.xml><?xml version="1.0" encoding="utf-8"?>
<sst xmlns="http://schemas.openxmlformats.org/spreadsheetml/2006/main" count="925" uniqueCount="324">
  <si>
    <t>■ 26년도 운영예산안 _ (보고 : 20251218)</t>
  </si>
  <si>
    <t>구분</t>
  </si>
  <si>
    <t>콘텐츠</t>
  </si>
  <si>
    <t>상세</t>
  </si>
  <si>
    <t>수량</t>
  </si>
  <si>
    <t>단위</t>
  </si>
  <si>
    <t>횟수</t>
  </si>
  <si>
    <t>단가</t>
  </si>
  <si>
    <t>금액</t>
  </si>
  <si>
    <t>비고</t>
  </si>
  <si>
    <t>최초 
1회 청구</t>
  </si>
  <si>
    <t>1월 사전세팅</t>
  </si>
  <si>
    <t>사전기획비</t>
  </si>
  <si>
    <t>Series</t>
  </si>
  <si>
    <t>회</t>
  </si>
  <si>
    <t/>
  </si>
  <si>
    <t>디자인 제작비</t>
  </si>
  <si>
    <t>건</t>
  </si>
  <si>
    <t>*1월 사전세팅 단계에서, 최초 1회만 청구</t>
  </si>
  <si>
    <t>SUM</t>
  </si>
  <si>
    <t>정기 콘텐츠 / 월 기준</t>
  </si>
  <si>
    <t>-. 비정기 콘텐츠의 경우, 월 1건을 기본으로 비용 산정
-. 해당 월 미진행시 제작수량 이월</t>
  </si>
  <si>
    <t>정기
콘텐츠</t>
  </si>
  <si>
    <r>
      <rPr>
        <rFont val="Noto Sans"/>
        <b/>
        <color theme="1"/>
        <sz val="11.0"/>
      </rPr>
      <t xml:space="preserve">고객인터뷰형 </t>
    </r>
    <r>
      <rPr>
        <rFont val="Noto Sans"/>
        <color theme="1"/>
        <sz val="11.0"/>
      </rPr>
      <t xml:space="preserve">
(*순당포착)
[구성]
캐러셀1+숏폼2</t>
    </r>
  </si>
  <si>
    <t>기획</t>
  </si>
  <si>
    <t>인물 기획, 질문지 구성</t>
  </si>
  <si>
    <t>섭외/로케이션</t>
  </si>
  <si>
    <t>출연자 섭외, 장소 헌팅</t>
  </si>
  <si>
    <t>촬영 (화보+인터뷰)</t>
  </si>
  <si>
    <t>set</t>
  </si>
  <si>
    <t>스틸컷+영상 동시 촬영</t>
  </si>
  <si>
    <t>사진보정</t>
  </si>
  <si>
    <t>이미지</t>
  </si>
  <si>
    <t>인물 당, 화보이미지 3장 (*이미지 추가 보정 시, 비용 별도 협의)</t>
  </si>
  <si>
    <t>영상 편집</t>
  </si>
  <si>
    <t>숏폼</t>
  </si>
  <si>
    <t>숏폼 2건 (#1 라이프스타일 30'' / #2 인터뷰 50'')</t>
  </si>
  <si>
    <t>소계 ①</t>
  </si>
  <si>
    <r>
      <rPr>
        <rFont val="Arial"/>
        <b/>
        <color theme="1"/>
        <sz val="11.0"/>
      </rPr>
      <t xml:space="preserve">먹방토크형 </t>
    </r>
    <r>
      <rPr>
        <rFont val="Arial"/>
        <color theme="1"/>
        <sz val="11.0"/>
      </rPr>
      <t xml:space="preserve">
(*취하지아니한가)
[구성] 숏폼3</t>
    </r>
  </si>
  <si>
    <t>내용 관련 정보 스터디, 질문지 구성</t>
  </si>
  <si>
    <t>인물 출연료</t>
  </si>
  <si>
    <t>인</t>
  </si>
  <si>
    <t>*평균가, 호스트(외국인,고정) ↔ 게스트(시리즈 별 교체)</t>
  </si>
  <si>
    <t>촬영</t>
  </si>
  <si>
    <t>소계 ②</t>
  </si>
  <si>
    <r>
      <rPr>
        <rFont val="Noto Sans"/>
        <b/>
        <color theme="1"/>
        <sz val="11.0"/>
      </rPr>
      <t xml:space="preserve">TPO공감형
</t>
    </r>
    <r>
      <rPr>
        <rFont val="Noto Sans"/>
        <color theme="1"/>
        <sz val="11.0"/>
      </rPr>
      <t>(*1막1장)
[구성] 숏폼2</t>
    </r>
  </si>
  <si>
    <t>컨셉 구성, 시놉시스 구성</t>
  </si>
  <si>
    <t>소계 ③</t>
  </si>
  <si>
    <t>비정기
콘텐츠</t>
  </si>
  <si>
    <t>AI 스터디</t>
  </si>
  <si>
    <t>기획 / 프롬프트 지원</t>
  </si>
  <si>
    <t>AI작업툴 스터디, 컨셉 기획, 프롬프트 설계</t>
  </si>
  <si>
    <t>AI 제작 지원</t>
  </si>
  <si>
    <t>이미지 Upscale 및 후보정 (*영상 10초 이상 분량, 비용 별도 협의)</t>
  </si>
  <si>
    <t>소계 ④</t>
  </si>
  <si>
    <t>홍보/이벤트</t>
  </si>
  <si>
    <t>기획 및 소재제작</t>
  </si>
  <si>
    <t>이미지 2장 기준 (*초과 분량 별도 협의)</t>
  </si>
  <si>
    <t>이벤트 운영 지원</t>
  </si>
  <si>
    <t>당첨자 선정, 경품 발송 등 업무 지원 (*경품비 별도)</t>
  </si>
  <si>
    <t>채널 운영 및 콘텐츠 업로드 지원</t>
  </si>
  <si>
    <t>최종 합계</t>
  </si>
  <si>
    <t>*만 단위 절삭</t>
  </si>
  <si>
    <t>비정기 콘텐츠 상세 견적</t>
  </si>
  <si>
    <t xml:space="preserve">-. 비정기콘텐츠 / 초과 분에 대한 비용가이드 </t>
  </si>
  <si>
    <t>컨셉 기획, 프롬프트 설계</t>
  </si>
  <si>
    <t xml:space="preserve"> AI 제작 지원 [이미지]</t>
  </si>
  <si>
    <t>이미지 Upscale, 후보정</t>
  </si>
  <si>
    <t>AI 제작/편집 지원 [영상 10초↓]</t>
  </si>
  <si>
    <t>영상 Upscale</t>
  </si>
  <si>
    <t>AI 제작/편집 지원 [영상 10초↑]</t>
  </si>
  <si>
    <t>-</t>
  </si>
  <si>
    <t>*내용에 따라 별도 협의</t>
  </si>
  <si>
    <t>홍보/이벤트 기획</t>
  </si>
  <si>
    <t>소재 제작 [이미지]</t>
  </si>
  <si>
    <t>이미지(캐러셀) 소재제작</t>
  </si>
  <si>
    <t>소재 제작 [영상]</t>
  </si>
  <si>
    <t>영상(릴스)형 콘텐츠 제작</t>
  </si>
  <si>
    <t>■ 26년도 운영예산 업데이트 _ (20260206)</t>
  </si>
  <si>
    <r>
      <rPr>
        <b/>
        <color rgb="FFCC0000"/>
        <sz val="11.0"/>
      </rPr>
      <t xml:space="preserve">현재 [(26년상반기)예산 개요 (ver.2)] / [개별 단가] / [시나리오] 3가지 시트로 목적별 구분하여 관련 작성하였으며 
참고차 노션 페이지에 각각에 대해 부가적인 설명을 포함해 문서로도 공유드렸으니 참고부탁드립니다. -- </t>
    </r>
    <r>
      <rPr>
        <b/>
        <color rgb="FF1155CC"/>
        <sz val="11.0"/>
        <u/>
      </rPr>
      <t>(링크)</t>
    </r>
  </si>
  <si>
    <t>-. 비정기 콘텐츠의 경우, 월 1건을 기본으로 비용 산정 (해당 월 미진행시 제작수량 이월)
-. 순당포착/1막1장에 대한 세부 단가는 [개별 단가] 시트 참조</t>
  </si>
  <si>
    <t>인력</t>
  </si>
  <si>
    <t>시간</t>
  </si>
  <si>
    <t>1인/1h (*고정비)</t>
  </si>
  <si>
    <r>
      <rPr>
        <rFont val="Noto Sans"/>
        <b/>
        <color theme="1"/>
        <sz val="11.0"/>
      </rPr>
      <t xml:space="preserve">고객인터뷰형 </t>
    </r>
    <r>
      <rPr>
        <rFont val="Noto Sans"/>
        <color theme="1"/>
        <sz val="11.0"/>
      </rPr>
      <t xml:space="preserve">
(*순당포착)
[구성]
캐러셀1+숏폼2</t>
    </r>
  </si>
  <si>
    <t>인터뷰 및 해당 촬영 기획</t>
  </si>
  <si>
    <t>명</t>
  </si>
  <si>
    <t>h</t>
  </si>
  <si>
    <t>답사</t>
  </si>
  <si>
    <t>스틸컷+영상 동시 촬영 / 2인 투입
(영상1+사진1), 
  • 6h 정도의 시간을 최소로 요함
(준비 1h + 본촬영4h+ 인서트 1h)</t>
  </si>
  <si>
    <t>사진 보정</t>
  </si>
  <si>
    <r>
      <rPr>
        <rFont val="Calibri"/>
        <color theme="1"/>
        <sz val="11.0"/>
      </rPr>
      <t xml:space="preserve">인물 당, 화보이미지 3장 (*이미지 추가 보정 시, 비용 별도 협의) 
</t>
    </r>
    <r>
      <rPr>
        <rFont val="Calibri"/>
        <i/>
        <color theme="1"/>
        <sz val="10.0"/>
      </rPr>
      <t xml:space="preserve">*기존에 추가 보정에 대한 비용 고려했으나, 
</t>
    </r>
    <r>
      <rPr>
        <rFont val="Calibri"/>
        <i/>
        <color rgb="FF0000FF"/>
        <sz val="10.0"/>
      </rPr>
      <t xml:space="preserve"> 첫 게시물 기준 이미지 장수 관계없이 보정하는 방향</t>
    </r>
    <r>
      <rPr>
        <rFont val="Calibri"/>
        <i/>
        <color theme="1"/>
        <sz val="10.0"/>
      </rPr>
      <t xml:space="preserve">
</t>
    </r>
    <r>
      <rPr>
        <rFont val="Calibri"/>
        <color theme="1"/>
        <sz val="11.0"/>
      </rPr>
      <t>※ 피드 및 포스터용 화보 사진 컷 보정</t>
    </r>
  </si>
  <si>
    <t>캐러셀 디자인·편집</t>
  </si>
  <si>
    <t>인스타그램 피드 게시물 + 포스터 디자인</t>
  </si>
  <si>
    <t>영상 기획</t>
  </si>
  <si>
    <t>*금일 논의를 위한 맥락 (향후 삭제)
- 숏폼 기획을 3인*2h + 1인*3h로 나누어두었는데, 
앞선 [인터뷰 및 해당촬영 기획]에서는 업장에 대한 파악이 되기 전 업장 리서치, 인터뷰 기획, 답사를 다녀온 뒤 촬영에 대한 기획으로 사전 기획에 해당 
이후 [숏폼 기획]은 촬영본을 기반으로 영상을 어떻게 구성할지 + 업장 캐릭터별 톤앤매너에 대한 기획을 팀 단위로 진행한 뒤 (3인*2h) 
우석님이 세부적인 영상 기획을 진행합니다. (모든 상황을 촬영 전 컨트롤할 수 있기보다, 촬영 후 파악되는 지점이 많아 기획을 2차례로 나누어 진행하고 있으며)
 - 산출물의 개수가 조정됨에 따라 팀 단위의 영상 기획은 개수와 관련없이 고정적으로 발생하고, 우석님이 진행하는 세부 영상기획은 각각의 산출물에 귀속된다고 볼 수 있습니다.
비용적인 측면을 고려할 때, 개수에 따른 구분을 고려한다면 팀 단위의 숏폼기획을 별도로 구분한 뒤, 개별 숏폼의 기획+편집을 편집으로만 구분하는 것이 좋겠습니다</t>
  </si>
  <si>
    <t>숏폼#1 기획+편집</t>
  </si>
  <si>
    <t>숏폼 2건 (#1 라이프스타일 30'' / #2 인터뷰 50'')
 &gt; 세부 숏폼 기획 + 편집*수정편집 포함
※ 투입상세 : 1명 3h + 1명 8h</t>
  </si>
  <si>
    <t>숏폼#2 기획+편집</t>
  </si>
  <si>
    <t>*현재 기준 ₩2,200,000 할인가로 제공 중 
*현재 '취하지아니한가' 미진행 관계로, '순당포착' 시리즈를 월 2세트 기본으로 진행</t>
  </si>
  <si>
    <r>
      <rPr>
        <rFont val="Arial"/>
        <b/>
        <color theme="1"/>
        <sz val="11.0"/>
      </rPr>
      <t xml:space="preserve">먹방토크형 </t>
    </r>
    <r>
      <rPr>
        <rFont val="Arial"/>
        <color theme="1"/>
        <sz val="11.0"/>
      </rPr>
      <t xml:space="preserve">
(*취하지아니한가)
[구성] 숏폼3</t>
    </r>
  </si>
  <si>
    <t>현재 미진행 / 향후 진행에 따라 시리즈별 비중 재논의</t>
  </si>
  <si>
    <r>
      <rPr>
        <rFont val="Noto Sans"/>
        <b/>
        <color theme="1"/>
        <sz val="11.0"/>
      </rPr>
      <t xml:space="preserve">TPO공감형
</t>
    </r>
    <r>
      <rPr>
        <rFont val="Noto Sans"/>
        <color theme="1"/>
        <sz val="11.0"/>
      </rPr>
      <t>(*1막1장)
[구성] 숏폼2</t>
    </r>
  </si>
  <si>
    <t>데스크리서치, 레퍼런스, 기획</t>
  </si>
  <si>
    <t>2인 투입(핸드헬드캠1+짐벌캠1)</t>
  </si>
  <si>
    <t>촬영 색보정</t>
  </si>
  <si>
    <t>수정편집 포함</t>
  </si>
  <si>
    <r>
      <rPr>
        <rFont val="Calibri"/>
        <color theme="1"/>
        <sz val="11.0"/>
      </rPr>
      <t xml:space="preserve">AI작업툴 스터디, 컨셉 기획, 프롬프트 설계 
</t>
    </r>
    <r>
      <rPr>
        <rFont val="Calibri"/>
        <color theme="1"/>
        <sz val="10.0"/>
      </rPr>
      <t>* 1회 세션 준비 시 세션 준비(6h)+자료제작(4h)+세션 진행(3h) 정도 소요되었음. 초기 논의 시 비정기 콘텐츠는 단순 시간 단위로 나누기보다, 고정금액으로 이월 요소를 반영해 정기 콘텐츠 외 지원 수요를 고정적으로 반영하기 위한 목적으로 산정</t>
    </r>
  </si>
  <si>
    <t>*만 단위 절삭 
본 합계는 계산된 금액 기준으로, [시나리오] 시트의 할인액 참고</t>
  </si>
  <si>
    <t xml:space="preserve"> </t>
  </si>
  <si>
    <t>순당포착 현재 산출물 세트 (캐러셀1+숏폼2) 기준 세트 단가 총액 = ₩2,700,000</t>
  </si>
  <si>
    <t>*인당 시간당 단가 ₩50,000 적용</t>
  </si>
  <si>
    <t>대분류</t>
  </si>
  <si>
    <t>항목</t>
  </si>
  <si>
    <t>인원</t>
  </si>
  <si>
    <t>M/H</t>
  </si>
  <si>
    <t>단가(₩)</t>
  </si>
  <si>
    <t>답사 후 인터뷰지 구성, 촬영기획, 레퍼런스 탐색, 캐릭터 기획</t>
  </si>
  <si>
    <t>2인 투입(영상1+사진1), 준비1h+실내4h+주변1h</t>
  </si>
  <si>
    <t>캐러셀 편집</t>
  </si>
  <si>
    <t>피드용 화보 컷 보정</t>
  </si>
  <si>
    <t>숏폼 산출물 기획 (전체)</t>
  </si>
  <si>
    <t>전체기획미팅, 상세레퍼런스 서치</t>
  </si>
  <si>
    <t>세부 숏폼 기획 + 편집, 수정편집 포함</t>
  </si>
  <si>
    <t>합계</t>
  </si>
  <si>
    <t>기타 촬영/편집 관련 제작 실비는 별도 청구</t>
  </si>
  <si>
    <t>1회 촬영 시 발생하는 고정금액: ₩1,600,000 (영상편집 제외)</t>
  </si>
  <si>
    <t>*기획 ₩200,000 + 답사 ₩150,000 + 촬영 ₩600,000 + 사진보정 ₩150,000 + 캐러셀디자인 ₩200,000 + 영상기획(전체) ₩300,000 + ₩550,000</t>
  </si>
  <si>
    <t>산출물 1개 영상에 대한 변동비: ₩550,000/편 (세부 숏폼 기획 ₩150,000 + 편집 ₩400,000)</t>
  </si>
  <si>
    <t>풀세트(캐러셀1+숏폼2): ₩1,600,000 + ₩550,000×2 = ₩2,700,000</t>
  </si>
  <si>
    <t>축소세트(캐러셀1+숏폼1): ₩1,600,000 + ₩550,000×1 = ₩2,150,000</t>
  </si>
  <si>
    <t>1막1장 기본세트 (숏폼2) = ₩1,550,000</t>
  </si>
  <si>
    <t>숏폼#1 편집</t>
  </si>
  <si>
    <t>숏폼#2 편집</t>
  </si>
  <si>
    <t>1회 촬영 시 발생하는 고정금액: ₩950,000 (기획 ₩200,000 + 촬영 ₩600,000 + 색보정 ₩150,000)</t>
  </si>
  <si>
    <t>산출물 1개 영상에 대한 변동비: ₩300,000/숏폼</t>
  </si>
  <si>
    <t>숏폼1: ₩1,250,000 / 숏폼2: ₩1,550,000 / 숏폼3: ₩1,850,000</t>
  </si>
  <si>
    <t>가격 매트릭스 (할인 적용 후 청구금액)</t>
  </si>
  <si>
    <t>* 모든 금액에는 비정기(AI스터디 ₩450,000 + 홍보이벤트 ₩400,000) + 채널운영 ₩200,000 = ₩1,050,000 포함</t>
  </si>
  <si>
    <t>* 풀 : 영상2+캐러셀1의 세트를 의미 / 축소 : 영상1+캐러셀1의 세트를 의미 (화보 이미지는 공통으로 포함)</t>
  </si>
  <si>
    <t>Raw Value Matrix (할인 전, 단가 기준)</t>
  </si>
  <si>
    <t>Final Price Matrix (할인 적용 후 / 현재 적용가보다 커지는 경우, 더 큰 할인율을 적용)</t>
  </si>
  <si>
    <t>순당포착 \ 1막1장</t>
  </si>
  <si>
    <t>숏폼1</t>
  </si>
  <si>
    <t>숏폼2 (현재)</t>
  </si>
  <si>
    <t>숏폼3</t>
  </si>
  <si>
    <t>풀×1</t>
  </si>
  <si>
    <t>축소×2</t>
  </si>
  <si>
    <t>풀×2 (현재)</t>
  </si>
  <si>
    <t>축소×3</t>
  </si>
  <si>
    <t>풀×2+축소×1</t>
  </si>
  <si>
    <t>풀×3</t>
  </si>
  <si>
    <t>축소×4</t>
  </si>
  <si>
    <t>풀×2+축소×2</t>
  </si>
  <si>
    <t>상세 시나리오 및 할인율</t>
  </si>
  <si>
    <t>#</t>
  </si>
  <si>
    <t>순당포착</t>
  </si>
  <si>
    <t>1막1장</t>
  </si>
  <si>
    <t>Raw</t>
  </si>
  <si>
    <t>할인금액</t>
  </si>
  <si>
    <t>청구금액</t>
  </si>
  <si>
    <t>할인율</t>
  </si>
  <si>
    <t>A (현재)</t>
  </si>
  <si>
    <t>풀×2</t>
  </si>
  <si>
    <t>숏폼2</t>
  </si>
  <si>
    <t>B1</t>
  </si>
  <si>
    <t>C1</t>
  </si>
  <si>
    <t>C2</t>
  </si>
  <si>
    <t>C3</t>
  </si>
  <si>
    <t>C4</t>
  </si>
  <si>
    <t>C5</t>
  </si>
  <si>
    <t>D1</t>
  </si>
  <si>
    <t>D2</t>
  </si>
  <si>
    <t>D3</t>
  </si>
  <si>
    <t>합계 (₩)</t>
  </si>
  <si>
    <t>26-1월 청구분</t>
  </si>
  <si>
    <t>사전 기획료 및 디자인 비용</t>
  </si>
  <si>
    <t>사전 기획비 + 디자인 세팅비로 기존 합의된 금액에 의거하여 1회 청구 (₩2,000,000)</t>
  </si>
  <si>
    <t>소계</t>
  </si>
  <si>
    <t>VAT 별도</t>
  </si>
  <si>
    <t>정기콘텐츠 제작</t>
  </si>
  <si>
    <t>편</t>
  </si>
  <si>
    <t>비정기 콘텐츠 제작 (영상)</t>
  </si>
  <si>
    <t>혼돈주' 콘텐츠 제작 | 비정기 콘텐츠 (영상) 견적금액 기준</t>
  </si>
  <si>
    <t>제작실비</t>
  </si>
  <si>
    <t>청구 합계</t>
  </si>
  <si>
    <t>월 청구분 합계 (1월)</t>
  </si>
  <si>
    <t>■ 영상 종류별 편당 단가표</t>
  </si>
  <si>
    <t>영상 종류</t>
  </si>
  <si>
    <t>Step.1 기획/시나리오</t>
  </si>
  <si>
    <t>Step.2 촬영지원</t>
  </si>
  <si>
    <t>Step.3 편집</t>
  </si>
  <si>
    <r>
      <rPr>
        <rFont val="&quot;맑은 고딕&quot;"/>
        <color rgb="FF000000"/>
        <sz val="9.0"/>
      </rPr>
      <t xml:space="preserve">[투입인력] CH팀 2인 + 어시스턴트 에디터 2인 / 콘텐츠 당 기본 3h 투입
</t>
    </r>
    <r>
      <rPr>
        <rFont val="&quot;맑은 고딕&quot;"/>
        <b/>
        <color rgb="FF000000"/>
        <sz val="9.0"/>
      </rPr>
      <t xml:space="preserve"> [기본가] 3h*50,000 = 150,000원</t>
    </r>
    <r>
      <rPr>
        <rFont val="&quot;맑은 고딕&quot;"/>
        <color rgb="FF000000"/>
        <sz val="9.0"/>
      </rPr>
      <t xml:space="preserve"> 
</t>
    </r>
    <r>
      <rPr>
        <rFont val="&quot;맑은 고딕&quot;"/>
        <b/>
        <color rgb="FF000000"/>
        <sz val="9.0"/>
      </rPr>
      <t>→ 템플릿화 이후 운영효율화 고려하여, 20% 할인가 적용 = 120,000</t>
    </r>
  </si>
  <si>
    <r>
      <rPr>
        <rFont val="&quot;맑은 고딕&quot;"/>
        <color rgb="FF000000"/>
        <sz val="9.0"/>
      </rPr>
      <t xml:space="preserve">[투입인력] CH팀 2인(연출1, 촬영1) / 1회 촬영 당, 기본 8h 투입
</t>
    </r>
    <r>
      <rPr>
        <rFont val="&quot;맑은 고딕&quot;"/>
        <b/>
        <color rgb="FF000000"/>
        <sz val="9.0"/>
      </rPr>
      <t xml:space="preserve"> [기본가] 8h*2인*50,000 = 800,000 / 촬영 지원 시, 장비 지원금액 포함 산출</t>
    </r>
  </si>
  <si>
    <r>
      <rPr>
        <rFont val="&quot;맑은 고딕&quot;"/>
        <color rgb="FF000000"/>
        <sz val="9.0"/>
      </rPr>
      <t xml:space="preserve">[투입인력] 촬영(30초~1분) 기준, 1인 6h투입
</t>
    </r>
    <r>
      <rPr>
        <rFont val="&quot;맑은 고딕&quot;"/>
        <b/>
        <color rgb="FF000000"/>
        <sz val="9.0"/>
      </rPr>
      <t xml:space="preserve"> [기본가] 편당 6h*50,000 = 300,000원 </t>
    </r>
  </si>
  <si>
    <t>리소스 상세</t>
  </si>
  <si>
    <t>비용 (편당)</t>
  </si>
  <si>
    <t>투입 인력</t>
  </si>
  <si>
    <t>장비 지원</t>
  </si>
  <si>
    <t>[영상1] 
미션 기반 콘텐츠</t>
  </si>
  <si>
    <t>- 콘텐츠 포맷 기획
 - 스크립트 작성
 - 레퍼런스 탐색
 - 콘텐츠 전략 및 촬영 기획</t>
  </si>
  <si>
    <t>- 비용산출
 *1회 촬영분에 대한 기획료</t>
  </si>
  <si>
    <t>*2인 
(연출1 / 촬영1) 
+에디터 N명</t>
  </si>
  <si>
    <t>- Sony A7C2
 - TAMRON 15-75mm (선택) DJI RS3 짐벌
 - DJI OSMO Pocket 3 Package
 - DJI Mic Mini x2</t>
  </si>
  <si>
    <r>
      <rPr>
        <rFont val="&quot;맑은 고딕&quot;"/>
        <color rgb="FF000000"/>
        <sz val="9.0"/>
      </rPr>
      <t xml:space="preserve">[기본가] 80만원 기준 20% 할인가
- 초기 기획논의 및 템플릿화에 따른 20% 할인가 적용 
* 모든 [영상1] 콘텐츠는 식당, 사무실 등 여러 공간에서 이동형/고정형 촬영이 교차되는 것으로 전제 
</t>
    </r>
    <r>
      <rPr>
        <rFont val="&quot;맑은 고딕&quot;"/>
        <color rgb="FF9900FF"/>
        <sz val="9.0"/>
      </rPr>
      <t xml:space="preserve">* 촬영 1회당 기본적으로 1회분의 콘텐츠를 기대할 수 있음 </t>
    </r>
    <r>
      <rPr>
        <rFont val="&quot;맑은 고딕&quot;"/>
        <color rgb="FF000000"/>
        <sz val="9.0"/>
      </rPr>
      <t xml:space="preserve">
-- 촬영 단계에서 일반적인 고정촬영 콘텐츠와 같이 템플릿화하기는 어려우나, 향후 효율화를 고려하여 촬영 당 6h로 산정</t>
    </r>
  </si>
  <si>
    <t>[가편집]
 컷편집+사운드+자막
 [본편집]
 색보정+디테일
 *수정 횟수 제한 X</t>
  </si>
  <si>
    <r>
      <rPr>
        <rFont val="&quot;맑은 고딕&quot;"/>
        <color rgb="FF000000"/>
        <sz val="9.0"/>
      </rPr>
      <t xml:space="preserve">[할인가 적용]
 -. 초기 기획논의 및 디자인 설정
 -. 영상 별 템플릿화 적용
 -. </t>
    </r>
    <r>
      <rPr>
        <rFont val="&quot;맑은 고딕&quot;"/>
        <b/>
        <color rgb="FF000000"/>
        <sz val="9.0"/>
      </rPr>
      <t>N개월 장기 운영
 이에 편집총액의 20% 할인가 적용</t>
    </r>
    <r>
      <rPr>
        <rFont val="&quot;맑은 고딕&quot;"/>
        <color rgb="FF000000"/>
        <sz val="9.0"/>
      </rPr>
      <t xml:space="preserve">
</t>
    </r>
    <r>
      <rPr>
        <rFont val="&quot;맑은 고딕&quot;"/>
        <b/>
        <color rgb="FF000000"/>
        <sz val="9.0"/>
      </rPr>
      <t xml:space="preserve"> ※ 3개월 견적 + 30건 적용하여 </t>
    </r>
    <r>
      <rPr>
        <rFont val="&quot;맑은 고딕&quot;"/>
        <b/>
        <color rgb="FF000000"/>
        <sz val="9.0"/>
        <u/>
      </rPr>
      <t>추가할인 적용</t>
    </r>
    <r>
      <rPr>
        <rFont val="&quot;맑은 고딕&quot;"/>
        <color rgb="FF000000"/>
        <sz val="9.0"/>
      </rPr>
      <t xml:space="preserve">
 -. 30건 기준 640만원
</t>
    </r>
    <r>
      <rPr>
        <rFont val="&quot;맑은 고딕&quot;"/>
        <b/>
        <color rgb="FFFF00FF"/>
        <sz val="9.0"/>
      </rPr>
      <t xml:space="preserve"> -. 편당 210,000원</t>
    </r>
    <r>
      <rPr>
        <rFont val="&quot;맑은 고딕&quot;"/>
        <color rgb="FF000000"/>
        <sz val="9.0"/>
      </rPr>
      <t xml:space="preserve"> (기본가 대비 30% 할인)</t>
    </r>
  </si>
  <si>
    <t>[영상2] 
업무 관련 브이로그</t>
  </si>
  <si>
    <t>- 콘텐츠 포맷 기획
 - 레퍼런스 탐색
 - 콘텐츠 전략 및 촬영 기획
 - 브이로그 콘티 기획</t>
  </si>
  <si>
    <t>- 브이로그 특성 상, 스크립트 제외 됨에 따라 [영상2] 기본 단가에서 할인 적용
 - 비용산출
 *1회 촬영분에 대한 기획료</t>
  </si>
  <si>
    <t>동행 X (장비대여지원)</t>
  </si>
  <si>
    <t>[대여 품목]
 - DJI OSMO Pocket 3 Package
 - DJI Mic Mici x2</t>
  </si>
  <si>
    <t xml:space="preserve"> - 촬영 미동반
 - 장비대여 및 사용가이드 제공 단가</t>
  </si>
  <si>
    <t>■ 초기 기획비용 및 디자인 비용 (고정비)</t>
  </si>
  <si>
    <t>사전 기획료</t>
  </si>
  <si>
    <t>전반적인 채널운영 및 콘텐츠 시리즈에 대한 기획, 레퍼런스 탐색 및 컨셉 단위 제안</t>
  </si>
  <si>
    <t>디자인리소스</t>
  </si>
  <si>
    <t>로고타입, 폰트/컬러, 영상디자인 요소, 영상 T&amp;M (*필요 시 현장콘텐츠 활용하는 소품디자인)</t>
  </si>
  <si>
    <t>할인</t>
  </si>
  <si>
    <t>하반기 N개월 계약에 따른 사전할인</t>
  </si>
  <si>
    <t>총액</t>
  </si>
  <si>
    <t>■ 영상 편당 단가</t>
  </si>
  <si>
    <t>[영상1]
미션 기반 
팀콘텐츠</t>
  </si>
  <si>
    <t>편 당 810,000</t>
  </si>
  <si>
    <t>- 국순당 팀과 동행하며 여러 공간에서 촬영 이루어질 예정 (이동형+고정형)
- 향후 효율화를 고려하여 [촬영지원]비용에서 추가할인하여 비용 산정
*산식 ₩800,000(기본가)*0.8 (초기 논의 기반 템플릿화20%할인*추가할인 0.75 
= 편당 촬영지원비 ₩480,000
- 기획/시나리오, 편집비용은 위 단가 참조
* 시리즈 종류 관계없이 촬영비에 대해서는 30건 기준 640만원 
  (편당 ₩210,000, 기본가 대비 30% 할인된 금액) 적용</t>
  </si>
  <si>
    <t xml:space="preserve">[영상2]
업무 관련
브이로그
콘텐츠 </t>
  </si>
  <si>
    <t>편 당 390,000</t>
  </si>
  <si>
    <t>- 장비대여 및 촬영가이드로 촬영 대체</t>
  </si>
  <si>
    <t>8월 청구분</t>
  </si>
  <si>
    <r>
      <rPr>
        <rFont val="Arial"/>
        <color theme="1"/>
      </rPr>
      <t xml:space="preserve">초기 기획 및 디자인 비용 (고정비) ₩3,000,000
</t>
    </r>
    <r>
      <rPr>
        <rFont val="Arial"/>
        <i/>
        <color theme="1"/>
      </rPr>
      <t>* 사전할인 ₩1,000,000 적용</t>
    </r>
  </si>
  <si>
    <t xml:space="preserve">9월 청구분 </t>
  </si>
  <si>
    <r>
      <rPr>
        <rFont val="Arial"/>
        <b/>
        <color theme="1"/>
      </rPr>
      <t xml:space="preserve">촬영지원 </t>
    </r>
    <r>
      <rPr>
        <rFont val="Arial"/>
        <b val="0"/>
        <color rgb="FFFF0000"/>
      </rPr>
      <t>(로케이션 단위로 구분 / 크후팀 동행)</t>
    </r>
  </si>
  <si>
    <t>촬영일 상세
-. 국순당x크후 : 9/16(KT&amp;엘몰리노), 9/17(KT&amp;라까예), 9/22(KT&amp;샥슈카), 9/30(용용선생, 크리스피포크타운)
-. 크후x에디터 : 9/26(길거리인터뷰,건대)</t>
  </si>
  <si>
    <r>
      <rPr>
        <rFont val="Arial"/>
        <b/>
        <color theme="1"/>
      </rPr>
      <t xml:space="preserve">시나리오 기획 및 편집비 </t>
    </r>
    <r>
      <rPr>
        <rFont val="Arial"/>
        <b val="0"/>
        <color theme="1"/>
      </rPr>
      <t>(제작완료 기준)</t>
    </r>
  </si>
  <si>
    <t>제작 완료 분량, 총 13건 → 10월 내 업로드 완료 예정</t>
  </si>
  <si>
    <t>세부 내역 (1) 시나리오 기획</t>
  </si>
  <si>
    <t>세부 내역 (2) 편집</t>
  </si>
  <si>
    <t>*계약 시 협의한 할인비율에 따라 기본가(30만원) 기준 30% 할인 적용</t>
  </si>
  <si>
    <t>*촬영 및 제작에 사용한 카드사용내역분 (내역 상세 PPT로 별도 전달)</t>
  </si>
  <si>
    <t>월 청구분 합계 (8월+9월)</t>
  </si>
  <si>
    <t>촬영단위 재정의</t>
  </si>
  <si>
    <t>하루에 촬영하더라도 콘셉트·로케이션·구성이 달라지는 세그먼트는 별도 촬영단위로 간주합니다. 따라서 9월 촬영에는 촬영일 5일이 아닌, 촬영로케이션/구성이 달라지는 9회 촬영으로 적용합니다. 
이 방식은 기획 유동성과 세팅 전환 리소스를 가능한 명확하게 반영하고, 기존 합의된 편당 구조(선반영 효율화 할인)를 유지하는 안입니다.</t>
  </si>
  <si>
    <r>
      <rPr>
        <rFont val="Arial"/>
        <b/>
        <color theme="1"/>
      </rPr>
      <t xml:space="preserve">[편집] 비용 산정 기준 (아래 상세에 </t>
    </r>
    <r>
      <rPr>
        <rFont val="Arial"/>
        <b/>
        <color rgb="FF0000FF"/>
      </rPr>
      <t>기획/편집</t>
    </r>
    <r>
      <rPr>
        <rFont val="Arial"/>
        <b/>
        <color theme="1"/>
      </rPr>
      <t>으로 표기)</t>
    </r>
  </si>
  <si>
    <t>해당 월에 산정되는 편집 산출물 기준은 '제작완료' 기준에 따르며, 추후 수정은 제작완료 및 비용 반영 이후에도 업로드되기 전까지 자유롭게 진행한다.</t>
  </si>
  <si>
    <t>[시나리오 기획] 비용 산정 기준</t>
  </si>
  <si>
    <r>
      <rPr>
        <rFont val="Arial"/>
        <color theme="1"/>
      </rPr>
      <t xml:space="preserve">- 편집과정을 거쳐 제작완료된 경우 (수정여부와는 무관), </t>
    </r>
    <r>
      <rPr>
        <rFont val="Arial"/>
        <b/>
        <color rgb="FF0000FF"/>
      </rPr>
      <t>기획/편집</t>
    </r>
    <r>
      <rPr>
        <rFont val="Arial"/>
        <color theme="1"/>
      </rPr>
      <t xml:space="preserve">으로 표기하고 </t>
    </r>
    <r>
      <rPr>
        <rFont val="Arial"/>
        <b/>
        <color theme="1"/>
        <u/>
      </rPr>
      <t>시나리오 기획 및 편집비까지 반영된 비용으로 반영</t>
    </r>
    <r>
      <rPr>
        <rFont val="Arial"/>
        <color theme="1"/>
      </rPr>
      <t xml:space="preserve">
- 기획되어 촬영까지 진행되었으나, 해당 월에 편집산출물이 나오지 않은 상태는 </t>
    </r>
    <r>
      <rPr>
        <rFont val="Arial"/>
        <b/>
        <color rgb="FF0000FF"/>
      </rPr>
      <t>기획</t>
    </r>
    <r>
      <rPr>
        <rFont val="Arial"/>
        <color theme="1"/>
      </rPr>
      <t xml:space="preserve">으로 표기하고, </t>
    </r>
    <r>
      <rPr>
        <rFont val="Arial"/>
        <b/>
        <color theme="1"/>
        <u/>
      </rPr>
      <t>시나리오기획비만 추가 반영</t>
    </r>
  </si>
  <si>
    <t xml:space="preserve">10월 청구분 </t>
  </si>
  <si>
    <r>
      <rPr>
        <rFont val="Arial"/>
        <b/>
        <color theme="1"/>
      </rPr>
      <t xml:space="preserve">촬영지원 </t>
    </r>
    <r>
      <rPr>
        <rFont val="Arial"/>
        <b val="0"/>
        <color rgb="FFFF0000"/>
      </rPr>
      <t>(로케이션 단위로 구분 / 크후팀 동행)</t>
    </r>
  </si>
  <si>
    <t>촬영일 상세
 - 10/16 실내 (1)
 - 10/21 실내 / 별도 로이킴바이럴 당일 촬영 (2)
 - 10/28 실내 (1) 
 - 10/29 실내 / 페스카데리아 (2)</t>
  </si>
  <si>
    <r>
      <rPr>
        <rFont val="Arial"/>
        <b/>
        <color theme="1"/>
      </rPr>
      <t xml:space="preserve">시나리오 기획 및 편집비 </t>
    </r>
    <r>
      <rPr>
        <rFont val="Arial"/>
        <b val="0"/>
        <color theme="1"/>
      </rPr>
      <t>(제작완료 기준)</t>
    </r>
  </si>
  <si>
    <t>제작완료분 
- EP 11~12 
- 외전 4~7 
- 로이킴 바이럴</t>
  </si>
  <si>
    <t>제작완료분(7) 외 : EP13~20, 외전 8</t>
  </si>
  <si>
    <t>월 청구분 합계 (10월)</t>
  </si>
  <si>
    <r>
      <rPr>
        <rFont val="Arial"/>
        <b/>
        <color theme="1"/>
      </rPr>
      <t xml:space="preserve">[편집] 비용 산정 기준 (아래 상세에 </t>
    </r>
    <r>
      <rPr>
        <rFont val="Arial"/>
        <b/>
        <color rgb="FF0000FF"/>
      </rPr>
      <t>기획/편집</t>
    </r>
    <r>
      <rPr>
        <rFont val="Arial"/>
        <b/>
        <color theme="1"/>
      </rPr>
      <t>으로 표기)</t>
    </r>
  </si>
  <si>
    <r>
      <rPr>
        <rFont val="Arial"/>
        <color theme="1"/>
      </rPr>
      <t xml:space="preserve">사전제작 이후부터는 기획-촬영-편집에 타임라인 상 간극이 발생하므로 아래와 같이 반영
- 편집과정을 거쳐 제작완료된 경우 (수정여부와는 무관), </t>
    </r>
    <r>
      <rPr>
        <rFont val="Arial"/>
        <b/>
        <color rgb="FF0000FF"/>
      </rPr>
      <t>기획/편집</t>
    </r>
    <r>
      <rPr>
        <rFont val="Arial"/>
        <color theme="1"/>
      </rPr>
      <t xml:space="preserve">으로 표기하고 </t>
    </r>
    <r>
      <rPr>
        <rFont val="Arial"/>
        <b/>
        <color theme="1"/>
        <u/>
      </rPr>
      <t>시나리오 기획 및 편집비까지 반영된 비용으로 반영</t>
    </r>
    <r>
      <rPr>
        <rFont val="Arial"/>
        <color theme="1"/>
      </rPr>
      <t xml:space="preserve">
- 기획되어 촬영까지 진행되었으나, 해당 월에 편집산출물이 나오지 않은 상태는 </t>
    </r>
    <r>
      <rPr>
        <rFont val="Arial"/>
        <b/>
        <color rgb="FF0000FF"/>
      </rPr>
      <t>기획</t>
    </r>
    <r>
      <rPr>
        <rFont val="Arial"/>
        <color theme="1"/>
      </rPr>
      <t xml:space="preserve">으로 표기하고, </t>
    </r>
    <r>
      <rPr>
        <rFont val="Arial"/>
        <b/>
        <color theme="1"/>
        <u/>
      </rPr>
      <t>시나리오기획비만 추가 반영</t>
    </r>
  </si>
  <si>
    <t>(참고) 누적 반영분 상세</t>
  </si>
  <si>
    <t>2025.08/09 반영분</t>
  </si>
  <si>
    <t>수정된 EP 기준 EP1~10, 외전 1~3</t>
  </si>
  <si>
    <t>기획/편집</t>
  </si>
  <si>
    <t>-. 국순당x크후 : 9/16(KT&amp;엘몰리노), 9/17(KT&amp;라까예), 9/22(KT&amp;샥슈카), 9/30(용용선생, 크리스피포크타운)
-. 크후x에디터 : 9/26(길거리인터뷰,건대)</t>
  </si>
  <si>
    <t>2025.10 반영분</t>
  </si>
  <si>
    <t>외전4~5(떡볶이 페스티벌)</t>
  </si>
  <si>
    <t>EP11~12 / 외전 6~7</t>
  </si>
  <si>
    <t>로이킴 바이럴</t>
  </si>
  <si>
    <t xml:space="preserve"> - 10/16 실내 (1)
 - 10/21 실내 / 별도 로이킴 당일 촬영 (2)
 - 10/28 실내 (1) 
 - 10/29 실내 / 페스카데리아 (2)</t>
  </si>
  <si>
    <t>EP13~20, 외전 8</t>
  </si>
  <si>
    <t xml:space="preserve">11월 청구분 </t>
  </si>
  <si>
    <r>
      <rPr>
        <rFont val="Arial"/>
        <b/>
        <color theme="1"/>
      </rPr>
      <t xml:space="preserve">촬영지원 </t>
    </r>
    <r>
      <rPr>
        <rFont val="Arial"/>
        <b val="0"/>
        <color rgb="FFFF0000"/>
      </rPr>
      <t>(로케이션 단위로 구분 / 크후팀 동행)</t>
    </r>
  </si>
  <si>
    <t>촬영일 상세
 - 11/18 실내 (1)
 - 11/20 페스카데리아 인터뷰 (1)
 - 11/21 대표님 촬영
 - 11/26 경동시장 / 대학교 (2)</t>
  </si>
  <si>
    <r>
      <rPr>
        <rFont val="Arial"/>
        <b/>
        <color theme="1"/>
      </rPr>
      <t xml:space="preserve">시나리오 기획 및 편집비 </t>
    </r>
    <r>
      <rPr>
        <rFont val="Arial"/>
        <b val="0"/>
        <color theme="1"/>
      </rPr>
      <t>(제작완료 기준)</t>
    </r>
  </si>
  <si>
    <t>외전7-12, 제외분, Ep. 21~22</t>
  </si>
  <si>
    <t>EP13~EP22, 외전7-10, 제외분
*1 (외전7) 10월 반영된 외전7이 EP15로 변경됨에 따라 기존 외전8부터 번호가 하나씩 -1 이동
*2 ((제외) | 진행상황과 현재까지의 소감) | 편집, 제작완료되었으나 업로드 시 드랍처리됨
* 계약 시 협의한 할인비율에 따라 기본가(30만원) 기준 30% 할인 적용</t>
  </si>
  <si>
    <r>
      <rPr>
        <rFont val="Arial"/>
        <color rgb="FF000000"/>
      </rPr>
      <t xml:space="preserve">Figma 월 구독료 ₩59,517
SSD 허브 + M.2 SSD 구매 ₩159106+₩151,000 = ₩310,106
AI 활용 Higgsfield 이용권 구매 ₩435,077 </t>
    </r>
    <r>
      <rPr>
        <rFont val="Arial"/>
        <color rgb="FF0000FF"/>
      </rPr>
      <t xml:space="preserve">
*촬영 및 제작에 사용한 카드사용내역분 (내역 상세 PPT로 별도 전달)</t>
    </r>
  </si>
  <si>
    <t>월 청구분 합계 (11월)</t>
  </si>
  <si>
    <r>
      <rPr>
        <rFont val="Arial"/>
        <b/>
        <color theme="1"/>
      </rPr>
      <t xml:space="preserve">[편집] 비용 산정 기준 (아래 상세에 </t>
    </r>
    <r>
      <rPr>
        <rFont val="Arial"/>
        <b/>
        <color rgb="FF0000FF"/>
      </rPr>
      <t>기획/편집</t>
    </r>
    <r>
      <rPr>
        <rFont val="Arial"/>
        <b/>
        <color theme="1"/>
      </rPr>
      <t>으로 표기)</t>
    </r>
  </si>
  <si>
    <r>
      <rPr>
        <rFont val="Arial"/>
        <color theme="1"/>
      </rPr>
      <t xml:space="preserve">사전제작 이후부터는 기획-촬영-편집에 타임라인 상 간극이 발생하므로 아래와 같이 반영
- 편집과정을 거쳐 제작완료된 경우 (수정여부와는 무관), </t>
    </r>
    <r>
      <rPr>
        <rFont val="Arial"/>
        <b/>
        <color rgb="FF0000FF"/>
      </rPr>
      <t>기획/편집</t>
    </r>
    <r>
      <rPr>
        <rFont val="Arial"/>
        <color theme="1"/>
      </rPr>
      <t xml:space="preserve">으로 표기하고 </t>
    </r>
    <r>
      <rPr>
        <rFont val="Arial"/>
        <b/>
        <color theme="1"/>
        <u/>
      </rPr>
      <t>시나리오 기획 및 편집비까지 반영된 비용으로 반영</t>
    </r>
    <r>
      <rPr>
        <rFont val="Arial"/>
        <color theme="1"/>
      </rPr>
      <t xml:space="preserve">
- 기획되어 촬영까지 진행되었으나, 해당 월에 편집산출물이 나오지 않은 상태는 </t>
    </r>
    <r>
      <rPr>
        <rFont val="Arial"/>
        <b/>
        <color rgb="FF0000FF"/>
      </rPr>
      <t>기획</t>
    </r>
    <r>
      <rPr>
        <rFont val="Arial"/>
        <color theme="1"/>
      </rPr>
      <t xml:space="preserve">으로 표기하고, </t>
    </r>
    <r>
      <rPr>
        <rFont val="Arial"/>
        <b/>
        <color theme="1"/>
        <u/>
      </rPr>
      <t>시나리오기획비만 추가 반영</t>
    </r>
  </si>
  <si>
    <t>2025.11 반영분</t>
  </si>
  <si>
    <t>편집</t>
  </si>
  <si>
    <t xml:space="preserve">12월 청구분 </t>
  </si>
  <si>
    <r>
      <rPr>
        <rFont val="Arial"/>
        <b/>
        <color theme="1"/>
      </rPr>
      <t xml:space="preserve">촬영지원 </t>
    </r>
    <r>
      <rPr>
        <rFont val="Arial"/>
        <b val="0"/>
        <color rgb="FFFF0000"/>
      </rPr>
      <t>(로케이션 단위로 구분 / 크후팀 동행)</t>
    </r>
  </si>
  <si>
    <t>촬영일 상세
(1) 12/4 with 페스카데리아 팀(EP23) 
(2) 공간소개 촬영 with 연정 (EP24)
12/12(금) 막코위크 오픈데이 | 3편 별도 리소스로 진행
 (3) 12/12-12/13 스케치 촬영 (수현 외 1인)
 (4) 막코위크 #2 촬영 (우석, 수현 외 1인) 
 (5) 막코위크 #3 방문객인터뷰 촬영 (우석+에디터 2인)
12/19 (금)
(6) After #1 종료 후 다음행보 촬영</t>
  </si>
  <si>
    <r>
      <rPr>
        <rFont val="Arial"/>
        <b/>
        <color theme="1"/>
      </rPr>
      <t xml:space="preserve">시나리오 기획 및 편집비 </t>
    </r>
    <r>
      <rPr>
        <rFont val="Arial"/>
        <b val="0"/>
        <color theme="1"/>
      </rPr>
      <t>(제작완료 기준)</t>
    </r>
  </si>
  <si>
    <t>Ep.23~25, 워크인 #1~#4, After #1~#4</t>
  </si>
  <si>
    <t>EP23~25, 외전11-12, 워크인 #1~#4, After #1~#4
* 계약 시 협의한 할인비율에 따라 기본가(30만원) 기준 30% 할인 적용</t>
  </si>
  <si>
    <r>
      <rPr>
        <rFont val="Arial"/>
        <color rgb="FF000000"/>
      </rPr>
      <t>Figma 월 구독료 ₩60,267
12/12 오픈데이 차량이용료 ₩121,970 
오픈데이 현장 촬영용 붐마이크(2x) 대여 ₩55,100 (구매가 10% 기준)</t>
    </r>
    <r>
      <rPr>
        <rFont val="Arial"/>
        <color rgb="FF0000FF"/>
      </rPr>
      <t xml:space="preserve">
*촬영 및 제작에 사용한 카드사용내역분 (내역 상세 PPT로 별도 전달)</t>
    </r>
  </si>
  <si>
    <t>월 청구분 합계 (12월)</t>
  </si>
  <si>
    <r>
      <rPr>
        <rFont val="Arial"/>
        <b/>
        <color theme="1"/>
      </rPr>
      <t xml:space="preserve">[편집] 비용 산정 기준 (아래 상세에 </t>
    </r>
    <r>
      <rPr>
        <rFont val="Arial"/>
        <b/>
        <color rgb="FF0000FF"/>
      </rPr>
      <t>기획/편집</t>
    </r>
    <r>
      <rPr>
        <rFont val="Arial"/>
        <b/>
        <color theme="1"/>
      </rPr>
      <t>으로 표기)</t>
    </r>
  </si>
  <si>
    <r>
      <rPr>
        <rFont val="Arial"/>
        <color theme="1"/>
      </rPr>
      <t xml:space="preserve">사전제작 이후부터는 기획-촬영-편집에 타임라인 상 간극이 발생하므로 아래와 같이 반영
- 편집과정을 거쳐 제작완료된 경우 (수정여부와는 무관), </t>
    </r>
    <r>
      <rPr>
        <rFont val="Arial"/>
        <b/>
        <color rgb="FF0000FF"/>
      </rPr>
      <t>기획/편집</t>
    </r>
    <r>
      <rPr>
        <rFont val="Arial"/>
        <color theme="1"/>
      </rPr>
      <t xml:space="preserve">으로 표기하고 </t>
    </r>
    <r>
      <rPr>
        <rFont val="Arial"/>
        <b/>
        <color theme="1"/>
        <u/>
      </rPr>
      <t>시나리오 기획 및 편집비까지 반영된 비용으로 반영</t>
    </r>
    <r>
      <rPr>
        <rFont val="Arial"/>
        <color theme="1"/>
      </rPr>
      <t xml:space="preserve">
- 기획되어 촬영까지 진행되었으나, 해당 월에 편집산출물이 나오지 않은 상태는 </t>
    </r>
    <r>
      <rPr>
        <rFont val="Arial"/>
        <b/>
        <color rgb="FF0000FF"/>
      </rPr>
      <t>기획</t>
    </r>
    <r>
      <rPr>
        <rFont val="Arial"/>
        <color theme="1"/>
      </rPr>
      <t xml:space="preserve">으로 표기하고, </t>
    </r>
    <r>
      <rPr>
        <rFont val="Arial"/>
        <b/>
        <color theme="1"/>
        <u/>
      </rPr>
      <t>시나리오기획비만 추가 반영</t>
    </r>
  </si>
  <si>
    <r>
      <rPr>
        <rFont val="Arial"/>
        <color theme="1"/>
      </rPr>
      <t xml:space="preserve">초기 기획 및 디자인 비용 (고정비) ₩3,000,000
</t>
    </r>
    <r>
      <rPr>
        <rFont val="Arial"/>
        <i/>
        <color theme="1"/>
      </rPr>
      <t>* 사전할인 ₩1,000,000 적용</t>
    </r>
  </si>
  <si>
    <r>
      <rPr>
        <rFont val="Arial"/>
        <b/>
        <color theme="1"/>
      </rPr>
      <t xml:space="preserve">촬영지원 </t>
    </r>
    <r>
      <rPr>
        <rFont val="Arial"/>
        <b val="0"/>
        <color theme="1"/>
      </rPr>
      <t>(1일, 6h / 크후팀 동행)</t>
    </r>
  </si>
  <si>
    <t>일</t>
  </si>
  <si>
    <t>촬영일 상세
-. 국순당x크후 : 9/16(KT&amp;엘몰리노), 9/17(KT&amp;라까예), 9/22(KT&amp;샥슈카), 9/30(용용선생, 크리스피포크타운)
-. 크후x에디터 : 10/26(길거리인터뷰,건대)</t>
  </si>
  <si>
    <r>
      <rPr>
        <rFont val="Arial"/>
        <b/>
        <color theme="1"/>
      </rPr>
      <t xml:space="preserve">시나리오 기획 및 편집비 </t>
    </r>
    <r>
      <rPr>
        <rFont val="Arial"/>
        <b val="0"/>
        <color theme="1"/>
      </rPr>
      <t>(제작완료 기준)</t>
    </r>
  </si>
  <si>
    <r>
      <rPr>
        <rFont val="Arial"/>
        <b/>
        <color theme="1"/>
      </rPr>
      <t xml:space="preserve">[비고] *251014
</t>
    </r>
    <r>
      <rPr>
        <rFont val="Arial"/>
        <color theme="1"/>
      </rPr>
      <t xml:space="preserve">1일(6h) 촬영한 분량을 여러 편으로 나눠 제작하고 있음에 따라, 기존 단가표 내 [촬영지원 *편당48만원] 비용에 관한 부분 조율하고자 합니다.
  → 초기 계약 당시, 1회당 기본 1회분의 콘텐츠 제작이 기대됨에 따라 *48만원 비용으로 협의
  → 현재 1회 촬영한 분량을 여러 콘텐츠에 나눠 활용하고 있음에 따라 조정 필요
※ 제안
</t>
    </r>
    <r>
      <rPr>
        <rFont val="Arial"/>
        <color rgb="FFFF00FF"/>
      </rPr>
      <t xml:space="preserve"> -. [촬영지원] 비용은 촬영일(1일, 6h)을 기준으로 청구</t>
    </r>
    <r>
      <rPr>
        <rFont val="Arial"/>
        <color theme="1"/>
      </rPr>
      <t xml:space="preserve">
 -. 그 외 [시나리오 / 편집비]는 완성본을 기준으로 각각 단가표에 맞춰 청구 유지</t>
    </r>
  </si>
  <si>
    <r>
      <rPr>
        <rFont val="Arial"/>
        <color theme="1"/>
      </rPr>
      <t xml:space="preserve">초기 기획 및 디자인 비용 (고정비) ₩3,000,000
</t>
    </r>
    <r>
      <rPr>
        <rFont val="Arial"/>
        <i/>
        <color theme="1"/>
      </rPr>
      <t>* 사전할인 ₩1,000,000 적용</t>
    </r>
  </si>
  <si>
    <r>
      <rPr>
        <rFont val="Arial"/>
        <b/>
        <color theme="1"/>
      </rPr>
      <t xml:space="preserve">촬영지원 </t>
    </r>
    <r>
      <rPr>
        <rFont val="Arial"/>
        <b val="0"/>
        <color rgb="FFFF0000"/>
      </rPr>
      <t>(로케이션 단위로 구분 / 크후팀 동행)</t>
    </r>
  </si>
  <si>
    <r>
      <rPr>
        <rFont val="Arial"/>
        <b/>
        <color theme="1"/>
      </rPr>
      <t xml:space="preserve">시나리오 기획 및 편집비 </t>
    </r>
    <r>
      <rPr>
        <rFont val="Arial"/>
        <b val="0"/>
        <color theme="1"/>
      </rPr>
      <t>(제작완료 기준)</t>
    </r>
  </si>
  <si>
    <t>[A안] 촬영단위 재정의</t>
  </si>
  <si>
    <t>하루에 촬영하더라도 콘셉트·로케이션·구성이 달라지는 세그먼트는 별도 촬영단위로 간주합니다. 따라서 9월 촬영에는 촬영일 5일이 아닌, 촬영로케이션/구성이 달라지는 9회 촬영으로 적용합니다.</t>
  </si>
  <si>
    <t>이 방식은 기획 유동성과 세팅 전환 리소스를 가능한 명확하게 반영하고, 기존 합의된 편당 구조(선반영 효율화 할인)를 유지하는 안입니다.</t>
  </si>
  <si>
    <r>
      <rPr>
        <rFont val="Arial"/>
        <color theme="1"/>
      </rPr>
      <t xml:space="preserve">초기 기획 및 디자인 비용 (고정비) ₩3,000,000
</t>
    </r>
    <r>
      <rPr>
        <rFont val="Arial"/>
        <i/>
        <color theme="1"/>
      </rPr>
      <t>* 사전할인 ₩1,000,000 적용</t>
    </r>
  </si>
  <si>
    <r>
      <rPr>
        <rFont val="Arial"/>
        <b/>
        <color theme="1"/>
      </rPr>
      <t xml:space="preserve">촬영지원 </t>
    </r>
    <r>
      <rPr>
        <rFont val="Arial"/>
        <b val="0"/>
        <color theme="1"/>
      </rPr>
      <t>(1일, 6h / 크후팀 동행)</t>
    </r>
  </si>
  <si>
    <r>
      <rPr>
        <rFont val="Arial"/>
        <b/>
        <color theme="1"/>
      </rPr>
      <t xml:space="preserve">시나리오 기획 및 편집비 </t>
    </r>
    <r>
      <rPr>
        <rFont val="Arial"/>
        <b val="0"/>
        <color theme="1"/>
      </rPr>
      <t>(제작완료 기준)</t>
    </r>
  </si>
  <si>
    <t>[B안] 일자 기준 수용 + 일당 단가 상향(효율화 할인 복원)</t>
  </si>
  <si>
    <t>국순당 측 제안하신 일자 기준 정산을 수용하되, 선반영된 효율화 할인을 복원하여 일당 800,000원으로 산정합니다.</t>
  </si>
  <si>
    <t>회계·운영 측면에서 단순/명료하며, 중복 할인을 방지하는 안입니다.</t>
  </si>
  <si>
    <t>26년도 운영예산안 / 협의중</t>
  </si>
  <si>
    <t>최초 청구</t>
  </si>
  <si>
    <t>디자인비</t>
  </si>
  <si>
    <t>▼정기▼</t>
  </si>
  <si>
    <r>
      <rPr>
        <rFont val="Noto Sans"/>
        <b/>
        <color theme="1"/>
        <sz val="11.0"/>
      </rPr>
      <t xml:space="preserve">고객인터뷰형 </t>
    </r>
    <r>
      <rPr>
        <rFont val="Noto Sans"/>
        <color theme="1"/>
        <sz val="11.0"/>
      </rPr>
      <t xml:space="preserve">
(*순당포착)
[구성]
캐러셀1+숏폼2</t>
    </r>
  </si>
  <si>
    <r>
      <rPr>
        <rFont val="Arial"/>
        <b/>
        <color theme="1"/>
        <sz val="11.0"/>
      </rPr>
      <t xml:space="preserve">먹방토크형 </t>
    </r>
    <r>
      <rPr>
        <rFont val="Arial"/>
        <color theme="1"/>
        <sz val="11.0"/>
      </rPr>
      <t xml:space="preserve">
(*취하지아니한가)
[구성] 숏폼3</t>
    </r>
  </si>
  <si>
    <r>
      <rPr>
        <rFont val="Noto Sans"/>
        <b/>
        <color theme="1"/>
        <sz val="11.0"/>
      </rPr>
      <t xml:space="preserve">TPO공감형
</t>
    </r>
    <r>
      <rPr>
        <rFont val="Noto Sans"/>
        <color theme="1"/>
        <sz val="11.0"/>
      </rPr>
      <t>(*1막1장)
[구성] 숏폼2</t>
    </r>
  </si>
  <si>
    <t>AI스터디, 홍보/이벤트성 콘텐츠 등 제작 지원</t>
  </si>
  <si>
    <t>매월 기본 2건 (추가 시 개별 단가 적용, 미진행 시 이월) 
AI 스터디 진행에 대한 리소스 포함</t>
  </si>
  <si>
    <t>SUM ①+②+③</t>
  </si>
  <si>
    <t>▼비정기▼ 매월, 진행 내용에 맞춰 추가 청구 (2건 이상 시)</t>
  </si>
  <si>
    <t>AI 기획 지원</t>
  </si>
  <si>
    <t>[이미지] AI 제작 지원</t>
  </si>
  <si>
    <t>[영상] AI 제작/편집 지원</t>
  </si>
  <si>
    <t>기획 및 이벤트 운영 지원</t>
  </si>
  <si>
    <t>이벤트 규모에 따라 별도 협의</t>
  </si>
  <si>
    <t>소재 제작</t>
  </si>
  <si>
    <t>피드 기준 소재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</si>
</sst>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₩&quot;#,##0"/>
  </numFmts>
  <fonts count="3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1.0"/>
      <color rgb="FF000000"/>
      <name val="Noto Sans"/>
    </font>
    <font>
      <color theme="1"/>
      <name val="Arial"/>
      <scheme val="minor"/>
    </font>
    <font>
      <sz val="11.0"/>
      <color theme="1"/>
      <name val="Noto Sans"/>
    </font>
    <font>
      <sz val="11.0"/>
      <color theme="1"/>
      <name val="Calibri"/>
    </font>
    <font/>
    <font>
      <sz val="11.0"/>
      <color rgb="FFFF0000"/>
      <name val="Noto Sans"/>
    </font>
    <font>
      <b/>
      <sz val="11.0"/>
      <color theme="1"/>
      <name val="Calibri"/>
    </font>
    <font>
      <b/>
      <sz val="11.0"/>
      <color rgb="FFFFFFFF"/>
      <name val="Noto Sans"/>
    </font>
    <font>
      <sz val="11.0"/>
      <color rgb="FFFFFFFF"/>
      <name val="Calibri"/>
    </font>
    <font>
      <sz val="11.0"/>
      <color rgb="FF000000"/>
      <name val="Noto Sans"/>
    </font>
    <font>
      <sz val="11.0"/>
      <color theme="1"/>
      <name val="Arial"/>
    </font>
    <font>
      <b/>
      <sz val="11.0"/>
      <color theme="1"/>
      <name val="Noto Sans"/>
    </font>
    <font>
      <color theme="1"/>
      <name val="Arial"/>
    </font>
    <font>
      <b/>
      <u/>
      <sz val="11.0"/>
      <color rgb="FFCC0000"/>
    </font>
    <font>
      <sz val="10.0"/>
      <color theme="1"/>
      <name val="Calibri"/>
    </font>
    <font>
      <b/>
      <color theme="1"/>
      <name val="Arial"/>
    </font>
    <font>
      <i/>
      <sz val="9.0"/>
      <color theme="1"/>
      <name val="Arial"/>
    </font>
    <font>
      <sz val="11.0"/>
      <color rgb="FF000000"/>
      <name val="&quot;맑은 고딕&quot;"/>
    </font>
    <font>
      <sz val="10.0"/>
      <color rgb="FF000000"/>
      <name val="&quot;맑은 고딕&quot;"/>
    </font>
    <font>
      <b/>
      <color rgb="FFFFFFFF"/>
      <name val="Arial"/>
    </font>
    <font>
      <i/>
      <color theme="1"/>
      <name val="Arial"/>
    </font>
    <font>
      <b/>
      <color rgb="FF3D85C6"/>
      <name val="Arial"/>
    </font>
    <font>
      <b/>
      <color theme="1"/>
      <name val="Arial"/>
      <scheme val="minor"/>
    </font>
    <font>
      <b/>
      <color rgb="FF0000FF"/>
      <name val="Arial"/>
      <scheme val="minor"/>
    </font>
    <font>
      <color rgb="FF0000FF"/>
      <name val="Arial"/>
      <scheme val="minor"/>
    </font>
    <font>
      <b/>
      <sz val="12.0"/>
      <color theme="1"/>
      <name val="Arial"/>
      <scheme val="minor"/>
    </font>
    <font>
      <b/>
      <sz val="9.0"/>
      <color rgb="FF000000"/>
      <name val="&quot;맑은 고딕&quot;"/>
    </font>
    <font>
      <sz val="9.0"/>
      <color rgb="FF000000"/>
      <name val="&quot;맑은 고딕&quot;"/>
    </font>
    <font>
      <b/>
      <sz val="9.0"/>
      <color rgb="FFFF00FF"/>
      <name val="&quot;맑은 고딕&quot;"/>
    </font>
    <font>
      <color rgb="FF4A86E8"/>
      <name val="Arial"/>
      <scheme val="minor"/>
    </font>
    <font>
      <b/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1F3864"/>
        <bgColor rgb="FF1F3864"/>
      </patternFill>
    </fill>
    <fill>
      <patternFill patternType="solid">
        <fgColor rgb="FFB7B7B7"/>
        <bgColor rgb="FFB7B7B7"/>
      </patternFill>
    </fill>
  </fills>
  <borders count="31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</border>
    <border>
      <right style="thin">
        <color rgb="FFB7B7B7"/>
      </right>
      <top style="thin">
        <color rgb="FFB7B7B7"/>
      </top>
    </border>
    <border>
      <right style="thin">
        <color rgb="FFB7B7B7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3" xfId="0" applyAlignment="1" applyBorder="1" applyFont="1" applyNumberFormat="1">
      <alignment horizontal="right" readingOrder="0"/>
    </xf>
    <xf borderId="1" fillId="0" fontId="5" numFmtId="3" xfId="0" applyAlignment="1" applyBorder="1" applyFont="1" applyNumberFormat="1">
      <alignment horizontal="right"/>
    </xf>
    <xf quotePrefix="1" borderId="1" fillId="0" fontId="4" numFmtId="0" xfId="0" applyAlignment="1" applyBorder="1" applyFont="1">
      <alignment horizontal="left" readingOrder="0"/>
    </xf>
    <xf borderId="3" fillId="0" fontId="6" numFmtId="0" xfId="0" applyBorder="1" applyFont="1"/>
    <xf borderId="1" fillId="0" fontId="7" numFmtId="0" xfId="0" applyAlignment="1" applyBorder="1" applyFont="1">
      <alignment horizontal="left" readingOrder="0"/>
    </xf>
    <xf borderId="4" fillId="3" fontId="4" numFmtId="0" xfId="0" applyAlignment="1" applyBorder="1" applyFill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1" fillId="3" fontId="8" numFmtId="3" xfId="0" applyAlignment="1" applyBorder="1" applyFont="1" applyNumberFormat="1">
      <alignment horizontal="right"/>
    </xf>
    <xf borderId="1" fillId="3" fontId="5" numFmtId="0" xfId="0" applyBorder="1" applyFont="1"/>
    <xf borderId="7" fillId="4" fontId="9" numFmtId="0" xfId="0" applyAlignment="1" applyBorder="1" applyFill="1" applyFont="1">
      <alignment horizontal="left" readingOrder="0" vertical="center"/>
    </xf>
    <xf borderId="8" fillId="0" fontId="6" numFmtId="0" xfId="0" applyBorder="1" applyFont="1"/>
    <xf borderId="9" fillId="0" fontId="6" numFmtId="0" xfId="0" applyBorder="1" applyFont="1"/>
    <xf borderId="1" fillId="4" fontId="10" numFmtId="0" xfId="0" applyBorder="1" applyFont="1"/>
    <xf borderId="1" fillId="4" fontId="10" numFmtId="0" xfId="0" applyAlignment="1" applyBorder="1" applyFont="1">
      <alignment readingOrder="0"/>
    </xf>
    <xf borderId="1" fillId="5" fontId="11" numFmtId="0" xfId="0" applyAlignment="1" applyBorder="1" applyFill="1" applyFont="1">
      <alignment horizontal="left" readingOrder="0"/>
    </xf>
    <xf borderId="1" fillId="5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0" fillId="0" fontId="6" numFmtId="0" xfId="0" applyBorder="1" applyFont="1"/>
    <xf borderId="11" fillId="0" fontId="4" numFmtId="0" xfId="0" applyAlignment="1" applyBorder="1" applyFont="1">
      <alignment horizontal="center" readingOrder="0" vertical="center"/>
    </xf>
    <xf borderId="12" fillId="5" fontId="13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3" fillId="0" fontId="6" numFmtId="0" xfId="0" applyBorder="1" applyFont="1"/>
    <xf borderId="4" fillId="0" fontId="6" numFmtId="0" xfId="0" applyBorder="1" applyFont="1"/>
    <xf borderId="7" fillId="0" fontId="4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readingOrder="0" vertical="center"/>
    </xf>
    <xf borderId="1" fillId="0" fontId="5" numFmtId="0" xfId="0" applyAlignment="1" applyBorder="1" applyFont="1">
      <alignment vertical="center"/>
    </xf>
    <xf borderId="7" fillId="2" fontId="13" numFmtId="0" xfId="0" applyAlignment="1" applyBorder="1" applyFont="1">
      <alignment horizontal="center" readingOrder="0" vertical="center"/>
    </xf>
    <xf borderId="1" fillId="2" fontId="5" numFmtId="3" xfId="0" applyBorder="1" applyFont="1" applyNumberFormat="1"/>
    <xf borderId="1" fillId="2" fontId="5" numFmtId="0" xfId="0" applyAlignment="1" applyBorder="1" applyFon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vertical="bottom"/>
    </xf>
    <xf borderId="2" fillId="0" fontId="13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right" readingOrder="0" vertical="bottom"/>
    </xf>
    <xf borderId="1" fillId="6" fontId="5" numFmtId="3" xfId="0" applyAlignment="1" applyBorder="1" applyFill="1" applyFont="1" applyNumberFormat="1">
      <alignment horizontal="right" readingOrder="0" vertical="bottom"/>
    </xf>
    <xf borderId="1" fillId="6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right" readingOrder="0" vertical="center"/>
    </xf>
    <xf borderId="1" fillId="0" fontId="5" numFmtId="3" xfId="0" applyAlignment="1" applyBorder="1" applyFont="1" applyNumberFormat="1">
      <alignment horizontal="right" vertical="center"/>
    </xf>
    <xf quotePrefix="1" borderId="1" fillId="0" fontId="4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readingOrder="0" vertical="center"/>
    </xf>
    <xf borderId="1" fillId="3" fontId="8" numFmtId="3" xfId="0" applyAlignment="1" applyBorder="1" applyFont="1" applyNumberFormat="1">
      <alignment horizontal="right" vertical="center"/>
    </xf>
    <xf borderId="1" fillId="3" fontId="5" numFmtId="0" xfId="0" applyAlignment="1" applyBorder="1" applyFont="1">
      <alignment vertical="center"/>
    </xf>
    <xf borderId="1" fillId="4" fontId="10" numFmtId="0" xfId="0" applyAlignment="1" applyBorder="1" applyFont="1">
      <alignment vertical="center"/>
    </xf>
    <xf borderId="1" fillId="4" fontId="10" numFmtId="0" xfId="0" applyAlignment="1" applyBorder="1" applyFont="1">
      <alignment readingOrder="0" vertical="center"/>
    </xf>
    <xf borderId="1" fillId="5" fontId="11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left" readingOrder="0" vertical="center"/>
    </xf>
    <xf borderId="1" fillId="3" fontId="16" numFmtId="0" xfId="0" applyAlignment="1" applyBorder="1" applyFont="1">
      <alignment readingOrder="0" vertical="center"/>
    </xf>
    <xf borderId="2" fillId="7" fontId="12" numFmtId="0" xfId="0" applyAlignment="1" applyBorder="1" applyFill="1" applyFont="1">
      <alignment horizontal="center" readingOrder="0" vertical="center"/>
    </xf>
    <xf borderId="11" fillId="7" fontId="5" numFmtId="0" xfId="0" applyAlignment="1" applyBorder="1" applyFont="1">
      <alignment horizontal="center" readingOrder="0" vertical="center"/>
    </xf>
    <xf borderId="12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4" fillId="7" fontId="4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right" readingOrder="0" vertical="center"/>
    </xf>
    <xf borderId="3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vertical="center"/>
    </xf>
    <xf borderId="1" fillId="2" fontId="5" numFmtId="3" xfId="0" applyAlignment="1" applyBorder="1" applyFont="1" applyNumberFormat="1">
      <alignment vertical="center"/>
    </xf>
    <xf borderId="1" fillId="2" fontId="5" numFmtId="0" xfId="0" applyAlignment="1" applyBorder="1" applyFont="1">
      <alignment readingOrder="0" vertical="center"/>
    </xf>
    <xf borderId="0" fillId="0" fontId="14" numFmtId="0" xfId="0" applyAlignment="1" applyFont="1">
      <alignment vertical="center"/>
    </xf>
    <xf borderId="0" fillId="0" fontId="14" numFmtId="3" xfId="0" applyAlignment="1" applyFont="1" applyNumberFormat="1">
      <alignment vertical="center"/>
    </xf>
    <xf borderId="1" fillId="6" fontId="5" numFmtId="3" xfId="0" applyAlignment="1" applyBorder="1" applyFont="1" applyNumberFormat="1">
      <alignment horizontal="right" readingOrder="0" vertical="center"/>
    </xf>
    <xf borderId="1" fillId="6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17" numFmtId="0" xfId="0" applyAlignment="1" applyFont="1">
      <alignment horizontal="left" readingOrder="0" shrinkToFit="0" wrapText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16" fillId="8" fontId="21" numFmtId="0" xfId="0" applyAlignment="1" applyBorder="1" applyFill="1" applyFont="1">
      <alignment horizontal="center" readingOrder="0"/>
    </xf>
    <xf borderId="16" fillId="0" fontId="14" numFmtId="0" xfId="0" applyAlignment="1" applyBorder="1" applyFont="1">
      <alignment readingOrder="0" shrinkToFit="0" vertical="bottom" wrapText="0"/>
    </xf>
    <xf borderId="16" fillId="0" fontId="14" numFmtId="0" xfId="0" applyAlignment="1" applyBorder="1" applyFont="1">
      <alignment horizontal="center" readingOrder="0" shrinkToFit="0" vertical="bottom" wrapText="0"/>
    </xf>
    <xf borderId="16" fillId="0" fontId="14" numFmtId="164" xfId="0" applyAlignment="1" applyBorder="1" applyFont="1" applyNumberFormat="1">
      <alignment horizontal="right" readingOrder="0" shrinkToFit="0" vertical="bottom" wrapText="0"/>
    </xf>
    <xf borderId="16" fillId="0" fontId="14" numFmtId="0" xfId="0" applyAlignment="1" applyBorder="1" applyFont="1">
      <alignment shrinkToFit="0" vertical="bottom" wrapText="0"/>
    </xf>
    <xf borderId="16" fillId="0" fontId="17" numFmtId="0" xfId="0" applyAlignment="1" applyBorder="1" applyFont="1">
      <alignment readingOrder="0" shrinkToFit="0" vertical="bottom" wrapText="0"/>
    </xf>
    <xf borderId="16" fillId="0" fontId="17" numFmtId="0" xfId="0" applyAlignment="1" applyBorder="1" applyFont="1">
      <alignment horizontal="center" readingOrder="0" shrinkToFit="0" vertical="bottom" wrapText="0"/>
    </xf>
    <xf borderId="16" fillId="0" fontId="17" numFmtId="164" xfId="0" applyAlignment="1" applyBorder="1" applyFont="1" applyNumberFormat="1">
      <alignment horizontal="right" readingOrder="0" shrinkToFit="0" vertical="bottom" wrapText="0"/>
    </xf>
    <xf borderId="16" fillId="0" fontId="17" numFmtId="0" xfId="0" applyAlignment="1" applyBorder="1" applyFont="1">
      <alignment horizontal="lef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vertical="bottom"/>
    </xf>
    <xf borderId="16" fillId="5" fontId="14" numFmtId="164" xfId="0" applyAlignment="1" applyBorder="1" applyFont="1" applyNumberFormat="1">
      <alignment horizontal="right" readingOrder="0" shrinkToFit="0" vertical="bottom" wrapText="0"/>
    </xf>
    <xf borderId="16" fillId="5" fontId="14" numFmtId="0" xfId="0" applyAlignment="1" applyBorder="1" applyFont="1">
      <alignment readingOrder="0" shrinkToFit="0" vertical="bottom" wrapText="0"/>
    </xf>
    <xf borderId="16" fillId="5" fontId="14" numFmtId="10" xfId="0" applyAlignment="1" applyBorder="1" applyFont="1" applyNumberFormat="1">
      <alignment horizontal="right" readingOrder="0" shrinkToFit="0" vertical="bottom" wrapText="0"/>
    </xf>
    <xf borderId="16" fillId="0" fontId="14" numFmtId="10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17" fillId="0" fontId="24" numFmtId="0" xfId="0" applyAlignment="1" applyBorder="1" applyFon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17" fillId="0" fontId="3" numFmtId="0" xfId="0" applyAlignment="1" applyBorder="1" applyFont="1">
      <alignment shrinkToFit="0" vertical="center" wrapText="0"/>
    </xf>
    <xf borderId="18" fillId="0" fontId="3" numFmtId="0" xfId="0" applyAlignment="1" applyBorder="1" applyFont="1">
      <alignment readingOrder="0" shrinkToFit="0" vertical="center" wrapText="0"/>
    </xf>
    <xf borderId="18" fillId="0" fontId="3" numFmtId="0" xfId="0" applyAlignment="1" applyBorder="1" applyFont="1">
      <alignment shrinkToFit="0" vertical="center" wrapText="0"/>
    </xf>
    <xf borderId="18" fillId="0" fontId="3" numFmtId="3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quotePrefix="1" borderId="0" fillId="0" fontId="3" numFmtId="0" xfId="0" applyAlignment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3" xfId="0" applyAlignment="1" applyFont="1" applyNumberForma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19" fillId="0" fontId="3" numFmtId="0" xfId="0" applyAlignment="1" applyBorder="1" applyFont="1">
      <alignment shrinkToFit="0" vertical="center" wrapText="0"/>
    </xf>
    <xf borderId="0" fillId="0" fontId="24" numFmtId="0" xfId="0" applyAlignment="1" applyFont="1">
      <alignment shrinkToFit="0" vertical="center" wrapText="0"/>
    </xf>
    <xf borderId="0" fillId="0" fontId="24" numFmtId="3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7" numFmtId="0" xfId="0" applyAlignment="1" applyFont="1">
      <alignment readingOrder="0" vertical="top"/>
    </xf>
    <xf borderId="20" fillId="6" fontId="28" numFmtId="0" xfId="0" applyAlignment="1" applyBorder="1" applyFont="1">
      <alignment horizontal="center" readingOrder="0" shrinkToFit="0" vertical="center" wrapText="1"/>
    </xf>
    <xf borderId="21" fillId="6" fontId="28" numFmtId="0" xfId="0" applyAlignment="1" applyBorder="1" applyFont="1">
      <alignment readingOrder="0" shrinkToFit="0" vertical="center" wrapText="1"/>
    </xf>
    <xf borderId="21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0" fillId="0" fontId="29" numFmtId="0" xfId="0" applyAlignment="1" applyFont="1">
      <alignment readingOrder="0" shrinkToFit="0" vertical="center" wrapText="1"/>
    </xf>
    <xf borderId="17" fillId="0" fontId="6" numFmtId="0" xfId="0" applyBorder="1" applyFont="1"/>
    <xf borderId="24" fillId="0" fontId="6" numFmtId="0" xfId="0" applyBorder="1" applyFont="1"/>
    <xf borderId="25" fillId="6" fontId="28" numFmtId="0" xfId="0" applyAlignment="1" applyBorder="1" applyFont="1">
      <alignment horizontal="center" readingOrder="0" shrinkToFit="0" vertical="center" wrapText="1"/>
    </xf>
    <xf borderId="18" fillId="6" fontId="28" numFmtId="0" xfId="0" applyAlignment="1" applyBorder="1" applyFont="1">
      <alignment horizontal="center" readingOrder="0" shrinkToFit="0" vertical="center" wrapText="1"/>
    </xf>
    <xf borderId="26" fillId="6" fontId="28" numFmtId="0" xfId="0" applyAlignment="1" applyBorder="1" applyFont="1">
      <alignment horizontal="center" readingOrder="0" shrinkToFit="0" vertical="center" wrapText="1"/>
    </xf>
    <xf borderId="23" fillId="6" fontId="29" numFmtId="0" xfId="0" applyAlignment="1" applyBorder="1" applyFont="1">
      <alignment readingOrder="0" shrinkToFit="0" vertical="center" wrapText="1"/>
    </xf>
    <xf borderId="0" fillId="0" fontId="30" numFmtId="3" xfId="0" applyAlignment="1" applyFont="1" applyNumberFormat="1">
      <alignment readingOrder="0" shrinkToFit="0" vertical="center" wrapText="1"/>
    </xf>
    <xf borderId="0" fillId="0" fontId="29" numFmtId="3" xfId="0" applyAlignment="1" applyFont="1" applyNumberFormat="1">
      <alignment readingOrder="0" shrinkToFit="0" vertical="center" wrapText="1"/>
    </xf>
    <xf borderId="17" fillId="0" fontId="29" numFmtId="0" xfId="0" applyAlignment="1" applyBorder="1" applyFont="1">
      <alignment readingOrder="0" shrinkToFit="0" vertical="center" wrapText="1"/>
    </xf>
    <xf borderId="24" fillId="6" fontId="29" numFmtId="0" xfId="0" applyAlignment="1" applyBorder="1" applyFont="1">
      <alignment readingOrder="0" shrinkToFit="0" vertical="center" wrapText="1"/>
    </xf>
    <xf borderId="27" fillId="0" fontId="29" numFmtId="0" xfId="0" applyAlignment="1" applyBorder="1" applyFont="1">
      <alignment readingOrder="0" shrinkToFit="0" vertical="center" wrapText="1"/>
    </xf>
    <xf borderId="27" fillId="0" fontId="30" numFmtId="3" xfId="0" applyAlignment="1" applyBorder="1" applyFont="1" applyNumberFormat="1">
      <alignment readingOrder="0" shrinkToFit="0" vertical="center" wrapText="1"/>
    </xf>
    <xf borderId="27" fillId="0" fontId="6" numFmtId="0" xfId="0" applyBorder="1" applyFont="1"/>
    <xf borderId="19" fillId="0" fontId="6" numFmtId="0" xfId="0" applyBorder="1" applyFont="1"/>
    <xf borderId="28" fillId="6" fontId="3" numFmtId="0" xfId="0" applyAlignment="1" applyBorder="1" applyFont="1">
      <alignment readingOrder="0"/>
    </xf>
    <xf borderId="22" fillId="6" fontId="3" numFmtId="0" xfId="0" applyAlignment="1" applyBorder="1" applyFont="1">
      <alignment readingOrder="0"/>
    </xf>
    <xf borderId="29" fillId="0" fontId="3" numFmtId="0" xfId="0" applyAlignment="1" applyBorder="1" applyFont="1">
      <alignment readingOrder="0"/>
    </xf>
    <xf borderId="17" fillId="0" fontId="3" numFmtId="3" xfId="0" applyAlignment="1" applyBorder="1" applyFont="1" applyNumberFormat="1">
      <alignment readingOrder="0"/>
    </xf>
    <xf borderId="17" fillId="0" fontId="31" numFmtId="3" xfId="0" applyAlignment="1" applyBorder="1" applyFont="1" applyNumberFormat="1">
      <alignment readingOrder="0"/>
    </xf>
    <xf borderId="29" fillId="0" fontId="31" numFmtId="0" xfId="0" applyAlignment="1" applyBorder="1" applyFont="1">
      <alignment readingOrder="0"/>
    </xf>
    <xf borderId="25" fillId="5" fontId="3" numFmtId="0" xfId="0" applyAlignment="1" applyBorder="1" applyFont="1">
      <alignment readingOrder="0"/>
    </xf>
    <xf borderId="26" fillId="5" fontId="3" numFmtId="3" xfId="0" applyBorder="1" applyFont="1" applyNumberFormat="1"/>
    <xf borderId="30" fillId="5" fontId="3" numFmtId="0" xfId="0" applyBorder="1" applyFont="1"/>
    <xf borderId="27" fillId="5" fontId="3" numFmtId="0" xfId="0" applyBorder="1" applyFont="1"/>
    <xf borderId="19" fillId="5" fontId="3" numFmtId="0" xfId="0" applyBorder="1" applyFont="1"/>
    <xf borderId="16" fillId="6" fontId="3" numFmtId="0" xfId="0" applyAlignment="1" applyBorder="1" applyFont="1">
      <alignment readingOrder="0"/>
    </xf>
    <xf borderId="25" fillId="6" fontId="3" numFmtId="0" xfId="0" applyAlignment="1" applyBorder="1" applyFont="1">
      <alignment readingOrder="0"/>
    </xf>
    <xf borderId="18" fillId="0" fontId="6" numFmtId="0" xfId="0" applyBorder="1" applyFont="1"/>
    <xf borderId="26" fillId="0" fontId="6" numFmtId="0" xfId="0" applyBorder="1" applyFont="1"/>
    <xf borderId="16" fillId="0" fontId="3" numFmtId="0" xfId="0" applyAlignment="1" applyBorder="1" applyFont="1">
      <alignment readingOrder="0" vertical="center"/>
    </xf>
    <xf borderId="16" fillId="0" fontId="24" numFmtId="0" xfId="0" applyAlignment="1" applyBorder="1" applyFont="1">
      <alignment horizontal="right" readingOrder="0" vertical="center"/>
    </xf>
    <xf borderId="25" fillId="0" fontId="3" numFmtId="0" xfId="0" applyAlignment="1" applyBorder="1" applyFont="1">
      <alignment readingOrder="0" vertical="center"/>
    </xf>
    <xf borderId="19" fillId="0" fontId="24" numFmtId="0" xfId="0" applyAlignment="1" applyBorder="1" applyFont="1">
      <alignment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2" numFmtId="3" xfId="0" applyAlignment="1" applyFont="1" applyNumberFormat="1">
      <alignment readingOrder="0" shrinkToFit="0" vertical="center" wrapText="0"/>
    </xf>
    <xf borderId="0" fillId="0" fontId="2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vertical="top"/>
    </xf>
    <xf borderId="0" fillId="0" fontId="24" numFmtId="0" xfId="0" applyAlignment="1" applyFont="1">
      <alignment horizontal="center" readingOrder="0"/>
    </xf>
    <xf borderId="0" fillId="0" fontId="24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4" numFmtId="164" xfId="0" applyAlignment="1" applyFont="1" applyNumberFormat="1">
      <alignment readingOrder="0"/>
    </xf>
    <xf borderId="0" fillId="5" fontId="3" numFmtId="0" xfId="0" applyAlignment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5" fontId="5" numFmtId="3" xfId="0" applyAlignment="1" applyBorder="1" applyFont="1" applyNumberFormat="1">
      <alignment horizontal="right" readingOrder="0"/>
    </xf>
    <xf borderId="1" fillId="5" fontId="5" numFmtId="3" xfId="0" applyAlignment="1" applyBorder="1" applyFont="1" applyNumberFormat="1">
      <alignment horizontal="right"/>
    </xf>
    <xf borderId="1" fillId="5" fontId="7" numFmtId="0" xfId="0" applyAlignment="1" applyBorder="1" applyFont="1">
      <alignment horizontal="left" readingOrder="0"/>
    </xf>
    <xf borderId="9" fillId="0" fontId="4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readingOrder="0"/>
    </xf>
    <xf borderId="1" fillId="2" fontId="5" numFmtId="0" xfId="0" applyBorder="1" applyFont="1"/>
    <xf borderId="7" fillId="9" fontId="5" numFmtId="3" xfId="0" applyAlignment="1" applyBorder="1" applyFill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26.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6.01-style 2">
      <tableStyleElement dxfId="2" type="firstRowStripe"/>
      <tableStyleElement dxfId="3" type="secondRowStripe"/>
    </tableStyle>
    <tableStyle count="4" pivot="0" name="25.08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.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.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5.11-style 2">
      <tableStyleElement dxfId="2" type="firstRowStripe"/>
      <tableStyleElement dxfId="3" type="secondRowStripe"/>
    </tableStyle>
    <tableStyle count="4" pivot="0" name="25.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5.12-style 2">
      <tableStyleElement dxfId="2" type="firstRowStripe"/>
      <tableStyleElement dxfId="3" type="secondRowStripe"/>
    </tableStyle>
    <tableStyle count="4" pivot="0" name="(점검본)25.08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CH 재조정)25.08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CH 재조정)25.0809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H11" displayName="A2026_01" name="A2026_01" id="1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26.01-style" showColumnStripes="0" showFirstColumn="1" showLastColumn="1" showRowStripes="1"/>
</table>
</file>

<file path=xl/tables/table2.xml><?xml version="1.0" encoding="utf-8"?>
<table xmlns="http://schemas.openxmlformats.org/spreadsheetml/2006/main" headerRowCount="0" ref="C28:C29" displayName="Table_1" name="Table_1" id="2">
  <tableColumns count="1">
    <tableColumn name="Column1" id="1"/>
  </tableColumns>
  <tableStyleInfo name="26.01-style 2" showColumnStripes="0" showFirstColumn="1" showLastColumn="1" showRowStripes="1"/>
</table>
</file>

<file path=xl/tables/table3.xml><?xml version="1.0" encoding="utf-8"?>
<table xmlns="http://schemas.openxmlformats.org/spreadsheetml/2006/main" ref="B4:H13" displayName="A안_2" name="A안_2" id="3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25.0809-style" showColumnStripes="0" showFirstColumn="1" showLastColumn="1" showRowStripes="1"/>
</table>
</file>

<file path=xl/tables/table4.xml><?xml version="1.0" encoding="utf-8"?>
<table xmlns="http://schemas.openxmlformats.org/spreadsheetml/2006/main" ref="B4:H11" displayName="A안_3" name="A안_3" id="4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25.10-style" showColumnStripes="0" showFirstColumn="1" showLastColumn="1" showRowStripes="1"/>
</table>
</file>

<file path=xl/tables/table5.xml><?xml version="1.0" encoding="utf-8"?>
<table xmlns="http://schemas.openxmlformats.org/spreadsheetml/2006/main" ref="B4:H11" displayName="A안_4" name="A안_4" id="5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25.11-style" showColumnStripes="0" showFirstColumn="1" showLastColumn="1" showRowStripes="1"/>
</table>
</file>

<file path=xl/tables/table6.xml><?xml version="1.0" encoding="utf-8"?>
<table xmlns="http://schemas.openxmlformats.org/spreadsheetml/2006/main" headerRowCount="0" ref="C28:C29" displayName="Table_2" name="Table_2" id="6">
  <tableColumns count="1">
    <tableColumn name="Column1" id="1"/>
  </tableColumns>
  <tableStyleInfo name="25.11-style 2" showColumnStripes="0" showFirstColumn="1" showLastColumn="1" showRowStripes="1"/>
</table>
</file>

<file path=xl/tables/table7.xml><?xml version="1.0" encoding="utf-8"?>
<table xmlns="http://schemas.openxmlformats.org/spreadsheetml/2006/main" ref="B4:H11" displayName="A안_5" name="A안_5" id="7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25.12-style" showColumnStripes="0" showFirstColumn="1" showLastColumn="1" showRowStripes="1"/>
</table>
</file>

<file path=xl/tables/table8.xml><?xml version="1.0" encoding="utf-8"?>
<table xmlns="http://schemas.openxmlformats.org/spreadsheetml/2006/main" headerRowCount="0" ref="C28:C29" displayName="Table_3" name="Table_3" id="8">
  <tableColumns count="1">
    <tableColumn name="Column1" id="1"/>
  </tableColumns>
  <tableStyleInfo name="25.12-style 2" showColumnStripes="0" showFirstColumn="1" showLastColumn="1" showRowStripes="1"/>
</table>
</file>

<file path=xl/tables/table9.xml><?xml version="1.0" encoding="utf-8"?>
<table xmlns="http://schemas.openxmlformats.org/spreadsheetml/2006/main" ref="B4:H12" displayName="비용청구분__2" name="비용청구분__2" id="9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(점검본)25.0809-style" showColumnStripes="0" showFirstColumn="1" showLastColumn="1" showRowStripes="1"/>
</table>
</file>

<file path=xl/tables/table10.xml><?xml version="1.0" encoding="utf-8"?>
<table xmlns="http://schemas.openxmlformats.org/spreadsheetml/2006/main" ref="B4:H13" displayName="A안" name="A안" id="10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(CH 재조정)25.0809-style" showColumnStripes="0" showFirstColumn="1" showLastColumn="1" showRowStripes="1"/>
</table>
</file>

<file path=xl/tables/table11.xml><?xml version="1.0" encoding="utf-8"?>
<table xmlns="http://schemas.openxmlformats.org/spreadsheetml/2006/main" ref="B21:H29" displayName="B안" name="B안" id="11">
  <tableColumns count="7">
    <tableColumn name="구분" id="1"/>
    <tableColumn name="항목" id="2"/>
    <tableColumn name="단가" id="3"/>
    <tableColumn name="수량" id="4"/>
    <tableColumn name="-" id="5"/>
    <tableColumn name="합계 (₩)" id="6"/>
    <tableColumn name="비고" id="7"/>
  </tableColumns>
  <tableStyleInfo name="(CH 재조정)25.0809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yollsugi/30002b0e30a981f689d1cf98d915f97a?source=copy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.75"/>
    <col customWidth="1" min="3" max="3" width="18.25"/>
    <col customWidth="1" min="4" max="4" width="26.63"/>
    <col customWidth="1" min="5" max="8" width="7.0"/>
    <col customWidth="1" min="9" max="10" width="15.25"/>
    <col customWidth="1" min="11" max="11" width="62.0"/>
  </cols>
  <sheetData>
    <row r="2">
      <c r="B2" s="1" t="s">
        <v>0</v>
      </c>
    </row>
    <row r="4">
      <c r="B4" s="2" t="s">
        <v>1</v>
      </c>
      <c r="C4" s="3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5</v>
      </c>
      <c r="I4" s="2" t="s">
        <v>7</v>
      </c>
      <c r="J4" s="2" t="s">
        <v>8</v>
      </c>
      <c r="K4" s="3" t="s">
        <v>9</v>
      </c>
    </row>
    <row r="5">
      <c r="B5" s="4" t="s">
        <v>10</v>
      </c>
      <c r="C5" s="5" t="s">
        <v>11</v>
      </c>
      <c r="D5" s="6" t="s">
        <v>12</v>
      </c>
      <c r="E5" s="7">
        <v>1.0</v>
      </c>
      <c r="F5" s="7" t="s">
        <v>13</v>
      </c>
      <c r="G5" s="7">
        <v>1.0</v>
      </c>
      <c r="H5" s="7" t="s">
        <v>14</v>
      </c>
      <c r="I5" s="8">
        <v>200000.0</v>
      </c>
      <c r="J5" s="9">
        <f t="shared" ref="J5:J6" si="1">E5*G5*I5</f>
        <v>200000</v>
      </c>
      <c r="K5" s="10" t="s">
        <v>15</v>
      </c>
    </row>
    <row r="6">
      <c r="C6" s="11"/>
      <c r="D6" s="6" t="s">
        <v>16</v>
      </c>
      <c r="E6" s="7">
        <v>1.0</v>
      </c>
      <c r="F6" s="7" t="s">
        <v>13</v>
      </c>
      <c r="G6" s="7">
        <v>3.0</v>
      </c>
      <c r="H6" s="7" t="s">
        <v>17</v>
      </c>
      <c r="I6" s="8">
        <v>600000.0</v>
      </c>
      <c r="J6" s="9">
        <f t="shared" si="1"/>
        <v>1800000</v>
      </c>
      <c r="K6" s="12" t="s">
        <v>18</v>
      </c>
    </row>
    <row r="7">
      <c r="B7" s="13" t="s">
        <v>19</v>
      </c>
      <c r="C7" s="14"/>
      <c r="D7" s="14"/>
      <c r="E7" s="14"/>
      <c r="F7" s="14"/>
      <c r="G7" s="14"/>
      <c r="H7" s="14"/>
      <c r="I7" s="15"/>
      <c r="J7" s="16">
        <f>sum(J5:J6)</f>
        <v>2000000</v>
      </c>
      <c r="K7" s="17"/>
    </row>
    <row r="9">
      <c r="B9" s="18" t="s">
        <v>20</v>
      </c>
      <c r="C9" s="19"/>
      <c r="D9" s="19"/>
      <c r="E9" s="19"/>
      <c r="F9" s="19"/>
      <c r="G9" s="19"/>
      <c r="H9" s="19"/>
      <c r="I9" s="20"/>
      <c r="J9" s="21"/>
      <c r="K9" s="22"/>
    </row>
    <row r="10">
      <c r="B10" s="23" t="s">
        <v>21</v>
      </c>
      <c r="C10" s="24"/>
      <c r="D10" s="25"/>
      <c r="E10" s="25"/>
      <c r="F10" s="25"/>
      <c r="G10" s="25"/>
      <c r="H10" s="25"/>
      <c r="I10" s="25"/>
      <c r="J10" s="25"/>
      <c r="K10" s="24"/>
    </row>
    <row r="11">
      <c r="B11" s="2" t="s">
        <v>1</v>
      </c>
      <c r="C11" s="3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5</v>
      </c>
      <c r="I11" s="2" t="s">
        <v>7</v>
      </c>
      <c r="J11" s="2" t="s">
        <v>8</v>
      </c>
      <c r="K11" s="3" t="s">
        <v>9</v>
      </c>
    </row>
    <row r="12">
      <c r="B12" s="5" t="s">
        <v>22</v>
      </c>
      <c r="C12" s="5" t="s">
        <v>23</v>
      </c>
      <c r="D12" s="6" t="s">
        <v>24</v>
      </c>
      <c r="E12" s="7">
        <v>1.0</v>
      </c>
      <c r="F12" s="7" t="s">
        <v>13</v>
      </c>
      <c r="G12" s="7">
        <v>1.0</v>
      </c>
      <c r="H12" s="7" t="s">
        <v>14</v>
      </c>
      <c r="I12" s="8">
        <v>200000.0</v>
      </c>
      <c r="J12" s="9">
        <f t="shared" ref="J12:J16" si="2">E12*G12*I12</f>
        <v>200000</v>
      </c>
      <c r="K12" s="26" t="s">
        <v>25</v>
      </c>
    </row>
    <row r="13">
      <c r="B13" s="11"/>
      <c r="C13" s="11"/>
      <c r="D13" s="6" t="s">
        <v>26</v>
      </c>
      <c r="E13" s="7">
        <v>1.0</v>
      </c>
      <c r="F13" s="7" t="s">
        <v>13</v>
      </c>
      <c r="G13" s="7">
        <v>1.0</v>
      </c>
      <c r="H13" s="7" t="s">
        <v>14</v>
      </c>
      <c r="I13" s="8">
        <v>300000.0</v>
      </c>
      <c r="J13" s="9">
        <f t="shared" si="2"/>
        <v>300000</v>
      </c>
      <c r="K13" s="27" t="s">
        <v>27</v>
      </c>
    </row>
    <row r="14">
      <c r="B14" s="11"/>
      <c r="C14" s="11"/>
      <c r="D14" s="6" t="s">
        <v>28</v>
      </c>
      <c r="E14" s="7">
        <v>1.0</v>
      </c>
      <c r="F14" s="7" t="s">
        <v>13</v>
      </c>
      <c r="G14" s="7">
        <v>2.0</v>
      </c>
      <c r="H14" s="7" t="s">
        <v>29</v>
      </c>
      <c r="I14" s="8">
        <v>300000.0</v>
      </c>
      <c r="J14" s="9">
        <f t="shared" si="2"/>
        <v>600000</v>
      </c>
      <c r="K14" s="27" t="s">
        <v>30</v>
      </c>
    </row>
    <row r="15">
      <c r="B15" s="11"/>
      <c r="C15" s="11"/>
      <c r="D15" s="6" t="s">
        <v>31</v>
      </c>
      <c r="E15" s="7">
        <v>1.0</v>
      </c>
      <c r="F15" s="7" t="s">
        <v>13</v>
      </c>
      <c r="G15" s="7">
        <v>3.0</v>
      </c>
      <c r="H15" s="7" t="s">
        <v>32</v>
      </c>
      <c r="I15" s="8">
        <v>100000.0</v>
      </c>
      <c r="J15" s="9">
        <f t="shared" si="2"/>
        <v>300000</v>
      </c>
      <c r="K15" s="27" t="s">
        <v>33</v>
      </c>
    </row>
    <row r="16">
      <c r="B16" s="11"/>
      <c r="C16" s="11"/>
      <c r="D16" s="6" t="s">
        <v>34</v>
      </c>
      <c r="E16" s="28">
        <v>1.0</v>
      </c>
      <c r="F16" s="28" t="s">
        <v>13</v>
      </c>
      <c r="G16" s="7">
        <v>2.0</v>
      </c>
      <c r="H16" s="7" t="s">
        <v>35</v>
      </c>
      <c r="I16" s="8">
        <v>400000.0</v>
      </c>
      <c r="J16" s="9">
        <f t="shared" si="2"/>
        <v>800000</v>
      </c>
      <c r="K16" s="27" t="s">
        <v>36</v>
      </c>
    </row>
    <row r="17">
      <c r="B17" s="11"/>
      <c r="C17" s="13" t="s">
        <v>37</v>
      </c>
      <c r="D17" s="14"/>
      <c r="E17" s="14"/>
      <c r="F17" s="14"/>
      <c r="G17" s="14"/>
      <c r="H17" s="14"/>
      <c r="I17" s="15"/>
      <c r="J17" s="16">
        <f>sum(J12:J16)</f>
        <v>2200000</v>
      </c>
      <c r="K17" s="17"/>
    </row>
    <row r="18">
      <c r="B18" s="11"/>
      <c r="C18" s="29" t="s">
        <v>38</v>
      </c>
      <c r="D18" s="6" t="s">
        <v>24</v>
      </c>
      <c r="E18" s="28">
        <v>1.0</v>
      </c>
      <c r="F18" s="28" t="s">
        <v>13</v>
      </c>
      <c r="G18" s="7">
        <v>1.0</v>
      </c>
      <c r="H18" s="7" t="s">
        <v>14</v>
      </c>
      <c r="I18" s="8">
        <v>300000.0</v>
      </c>
      <c r="J18" s="9">
        <f t="shared" ref="J18:J21" si="3">E18*G18*I18</f>
        <v>300000</v>
      </c>
      <c r="K18" s="30" t="s">
        <v>39</v>
      </c>
    </row>
    <row r="19">
      <c r="B19" s="11"/>
      <c r="C19" s="11"/>
      <c r="D19" s="7" t="s">
        <v>40</v>
      </c>
      <c r="E19" s="28">
        <v>1.0</v>
      </c>
      <c r="F19" s="28" t="s">
        <v>13</v>
      </c>
      <c r="G19" s="7">
        <v>2.0</v>
      </c>
      <c r="H19" s="7" t="s">
        <v>41</v>
      </c>
      <c r="I19" s="8">
        <v>300000.0</v>
      </c>
      <c r="J19" s="9">
        <f t="shared" si="3"/>
        <v>600000</v>
      </c>
      <c r="K19" s="30" t="s">
        <v>42</v>
      </c>
    </row>
    <row r="20">
      <c r="B20" s="11"/>
      <c r="C20" s="11"/>
      <c r="D20" s="7" t="s">
        <v>43</v>
      </c>
      <c r="E20" s="28">
        <v>1.0</v>
      </c>
      <c r="F20" s="28" t="s">
        <v>13</v>
      </c>
      <c r="G20" s="7">
        <v>2.0</v>
      </c>
      <c r="H20" s="7" t="s">
        <v>29</v>
      </c>
      <c r="I20" s="8">
        <v>300000.0</v>
      </c>
      <c r="J20" s="9">
        <f t="shared" si="3"/>
        <v>600000</v>
      </c>
      <c r="K20" s="31"/>
    </row>
    <row r="21">
      <c r="B21" s="11"/>
      <c r="C21" s="11"/>
      <c r="D21" s="7" t="s">
        <v>34</v>
      </c>
      <c r="E21" s="28">
        <v>1.0</v>
      </c>
      <c r="F21" s="28" t="s">
        <v>13</v>
      </c>
      <c r="G21" s="7">
        <v>3.0</v>
      </c>
      <c r="H21" s="7" t="s">
        <v>35</v>
      </c>
      <c r="I21" s="8">
        <v>400000.0</v>
      </c>
      <c r="J21" s="9">
        <f t="shared" si="3"/>
        <v>1200000</v>
      </c>
      <c r="K21" s="30"/>
    </row>
    <row r="22">
      <c r="B22" s="11"/>
      <c r="C22" s="13" t="s">
        <v>44</v>
      </c>
      <c r="D22" s="14"/>
      <c r="E22" s="14"/>
      <c r="F22" s="14"/>
      <c r="G22" s="14"/>
      <c r="H22" s="14"/>
      <c r="I22" s="15"/>
      <c r="J22" s="16">
        <f>sum(J18:J21)</f>
        <v>2700000</v>
      </c>
      <c r="K22" s="17"/>
    </row>
    <row r="23">
      <c r="B23" s="11"/>
      <c r="C23" s="5" t="s">
        <v>45</v>
      </c>
      <c r="D23" s="7" t="s">
        <v>24</v>
      </c>
      <c r="E23" s="7">
        <v>1.0</v>
      </c>
      <c r="F23" s="7" t="s">
        <v>13</v>
      </c>
      <c r="G23" s="7">
        <v>1.0</v>
      </c>
      <c r="H23" s="7" t="s">
        <v>14</v>
      </c>
      <c r="I23" s="8">
        <v>200000.0</v>
      </c>
      <c r="J23" s="9">
        <f>E23*G23*I23</f>
        <v>200000</v>
      </c>
      <c r="K23" s="30" t="s">
        <v>46</v>
      </c>
    </row>
    <row r="24">
      <c r="B24" s="11"/>
      <c r="C24" s="11"/>
      <c r="D24" s="7" t="s">
        <v>43</v>
      </c>
      <c r="E24" s="7">
        <v>1.0</v>
      </c>
      <c r="F24" s="7" t="s">
        <v>13</v>
      </c>
      <c r="G24" s="7">
        <v>1.0</v>
      </c>
      <c r="H24" s="7" t="s">
        <v>14</v>
      </c>
      <c r="I24" s="8">
        <v>300000.0</v>
      </c>
      <c r="J24" s="8">
        <v>600000.0</v>
      </c>
      <c r="K24" s="31"/>
    </row>
    <row r="25">
      <c r="B25" s="11"/>
      <c r="C25" s="32"/>
      <c r="D25" s="7" t="s">
        <v>34</v>
      </c>
      <c r="E25" s="28">
        <v>1.0</v>
      </c>
      <c r="F25" s="28" t="s">
        <v>13</v>
      </c>
      <c r="G25" s="7">
        <v>2.0</v>
      </c>
      <c r="H25" s="7" t="s">
        <v>35</v>
      </c>
      <c r="I25" s="8">
        <v>400000.0</v>
      </c>
      <c r="J25" s="9">
        <f>E25*G25*I25</f>
        <v>800000</v>
      </c>
      <c r="K25" s="31"/>
    </row>
    <row r="26">
      <c r="B26" s="32"/>
      <c r="C26" s="13" t="s">
        <v>47</v>
      </c>
      <c r="D26" s="14"/>
      <c r="E26" s="14"/>
      <c r="F26" s="14"/>
      <c r="G26" s="14"/>
      <c r="H26" s="14"/>
      <c r="I26" s="15"/>
      <c r="J26" s="16">
        <f>sum(J23:J25)</f>
        <v>1600000</v>
      </c>
      <c r="K26" s="17"/>
    </row>
    <row r="27">
      <c r="B27" s="33" t="s">
        <v>48</v>
      </c>
      <c r="C27" s="34" t="s">
        <v>49</v>
      </c>
      <c r="D27" s="35" t="s">
        <v>50</v>
      </c>
      <c r="E27" s="7">
        <v>1.0</v>
      </c>
      <c r="F27" s="7" t="s">
        <v>13</v>
      </c>
      <c r="G27" s="7">
        <v>1.0</v>
      </c>
      <c r="H27" s="7" t="s">
        <v>14</v>
      </c>
      <c r="I27" s="8">
        <v>200000.0</v>
      </c>
      <c r="J27" s="9">
        <f t="shared" ref="J27:J28" si="4">E27*G27*I27</f>
        <v>200000</v>
      </c>
      <c r="K27" s="36" t="s">
        <v>51</v>
      </c>
    </row>
    <row r="28">
      <c r="B28" s="37"/>
      <c r="C28" s="14"/>
      <c r="D28" s="35" t="s">
        <v>52</v>
      </c>
      <c r="E28" s="7">
        <v>1.0</v>
      </c>
      <c r="F28" s="7" t="s">
        <v>13</v>
      </c>
      <c r="G28" s="7">
        <v>1.0</v>
      </c>
      <c r="H28" s="7" t="s">
        <v>14</v>
      </c>
      <c r="I28" s="8">
        <v>250000.0</v>
      </c>
      <c r="J28" s="9">
        <f t="shared" si="4"/>
        <v>250000</v>
      </c>
      <c r="K28" s="36" t="s">
        <v>53</v>
      </c>
    </row>
    <row r="29">
      <c r="B29" s="37"/>
      <c r="C29" s="13" t="s">
        <v>54</v>
      </c>
      <c r="D29" s="14"/>
      <c r="E29" s="14"/>
      <c r="F29" s="14"/>
      <c r="G29" s="14"/>
      <c r="H29" s="14"/>
      <c r="I29" s="15"/>
      <c r="J29" s="16">
        <f>sum(J27:J28)</f>
        <v>450000</v>
      </c>
      <c r="K29" s="17"/>
    </row>
    <row r="30">
      <c r="B30" s="37"/>
      <c r="C30" s="34" t="s">
        <v>55</v>
      </c>
      <c r="D30" s="35" t="s">
        <v>56</v>
      </c>
      <c r="E30" s="7">
        <v>1.0</v>
      </c>
      <c r="F30" s="7" t="s">
        <v>13</v>
      </c>
      <c r="G30" s="7">
        <v>1.0</v>
      </c>
      <c r="H30" s="7" t="s">
        <v>14</v>
      </c>
      <c r="I30" s="8">
        <v>200000.0</v>
      </c>
      <c r="J30" s="9">
        <f t="shared" ref="J30:J31" si="5">E30*G30*I30</f>
        <v>200000</v>
      </c>
      <c r="K30" s="36" t="s">
        <v>57</v>
      </c>
    </row>
    <row r="31">
      <c r="B31" s="37"/>
      <c r="C31" s="14"/>
      <c r="D31" s="35" t="s">
        <v>58</v>
      </c>
      <c r="E31" s="7">
        <v>1.0</v>
      </c>
      <c r="F31" s="7" t="s">
        <v>13</v>
      </c>
      <c r="G31" s="7">
        <v>1.0</v>
      </c>
      <c r="H31" s="7" t="s">
        <v>14</v>
      </c>
      <c r="I31" s="8">
        <v>200000.0</v>
      </c>
      <c r="J31" s="9">
        <f t="shared" si="5"/>
        <v>200000</v>
      </c>
      <c r="K31" s="36" t="s">
        <v>59</v>
      </c>
    </row>
    <row r="32">
      <c r="B32" s="38"/>
      <c r="C32" s="13" t="s">
        <v>54</v>
      </c>
      <c r="D32" s="14"/>
      <c r="E32" s="14"/>
      <c r="F32" s="14"/>
      <c r="G32" s="14"/>
      <c r="H32" s="14"/>
      <c r="I32" s="15"/>
      <c r="J32" s="16">
        <f>sum(J30:J31)</f>
        <v>400000</v>
      </c>
      <c r="K32" s="17"/>
    </row>
    <row r="33">
      <c r="B33" s="39" t="s">
        <v>60</v>
      </c>
      <c r="C33" s="19"/>
      <c r="D33" s="19"/>
      <c r="E33" s="19"/>
      <c r="F33" s="19"/>
      <c r="G33" s="19"/>
      <c r="H33" s="19"/>
      <c r="I33" s="20"/>
      <c r="J33" s="40">
        <v>200000.0</v>
      </c>
      <c r="K33" s="41"/>
    </row>
    <row r="34">
      <c r="B34" s="42" t="s">
        <v>61</v>
      </c>
      <c r="C34" s="19"/>
      <c r="D34" s="19"/>
      <c r="E34" s="19"/>
      <c r="F34" s="19"/>
      <c r="G34" s="19"/>
      <c r="H34" s="19"/>
      <c r="I34" s="20"/>
      <c r="J34" s="43">
        <f>J17+J22+J26+J29+J32+J33-50000</f>
        <v>7500000</v>
      </c>
      <c r="K34" s="44" t="s">
        <v>62</v>
      </c>
    </row>
    <row r="35">
      <c r="A35" s="45"/>
      <c r="B35" s="46"/>
      <c r="C35" s="46"/>
      <c r="D35" s="46"/>
      <c r="E35" s="46"/>
      <c r="F35" s="46"/>
      <c r="G35" s="46"/>
      <c r="H35" s="46"/>
      <c r="I35" s="47"/>
      <c r="J35" s="47"/>
      <c r="K35" s="46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>
      <c r="A36" s="45"/>
      <c r="B36" s="18" t="s">
        <v>63</v>
      </c>
      <c r="C36" s="19"/>
      <c r="D36" s="19"/>
      <c r="E36" s="19"/>
      <c r="F36" s="19"/>
      <c r="G36" s="19"/>
      <c r="H36" s="19"/>
      <c r="I36" s="20"/>
      <c r="J36" s="21"/>
      <c r="K36" s="22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</row>
    <row r="37">
      <c r="B37" s="23" t="s">
        <v>64</v>
      </c>
      <c r="C37" s="24"/>
      <c r="D37" s="25"/>
      <c r="E37" s="25"/>
      <c r="F37" s="25"/>
      <c r="G37" s="25"/>
      <c r="H37" s="25"/>
      <c r="I37" s="25"/>
      <c r="J37" s="25"/>
      <c r="K37" s="24"/>
    </row>
    <row r="38">
      <c r="B38" s="5" t="s">
        <v>48</v>
      </c>
      <c r="C38" s="48" t="s">
        <v>49</v>
      </c>
      <c r="D38" s="6" t="s">
        <v>50</v>
      </c>
      <c r="E38" s="7">
        <v>1.0</v>
      </c>
      <c r="F38" s="7" t="s">
        <v>13</v>
      </c>
      <c r="G38" s="7">
        <v>1.0</v>
      </c>
      <c r="H38" s="7" t="s">
        <v>14</v>
      </c>
      <c r="I38" s="8">
        <v>200000.0</v>
      </c>
      <c r="J38" s="9">
        <f t="shared" ref="J38:J40" si="6">E38*G38*I38</f>
        <v>200000</v>
      </c>
      <c r="K38" s="30" t="s">
        <v>65</v>
      </c>
    </row>
    <row r="39">
      <c r="B39" s="11"/>
      <c r="C39" s="11"/>
      <c r="D39" s="6" t="s">
        <v>66</v>
      </c>
      <c r="E39" s="7">
        <v>1.0</v>
      </c>
      <c r="F39" s="7" t="s">
        <v>13</v>
      </c>
      <c r="G39" s="7">
        <v>1.0</v>
      </c>
      <c r="H39" s="7" t="s">
        <v>14</v>
      </c>
      <c r="I39" s="49">
        <v>250000.0</v>
      </c>
      <c r="J39" s="9">
        <f t="shared" si="6"/>
        <v>250000</v>
      </c>
      <c r="K39" s="30" t="s">
        <v>67</v>
      </c>
    </row>
    <row r="40">
      <c r="B40" s="11"/>
      <c r="C40" s="11"/>
      <c r="D40" s="6" t="s">
        <v>68</v>
      </c>
      <c r="E40" s="7">
        <v>1.0</v>
      </c>
      <c r="F40" s="7" t="s">
        <v>13</v>
      </c>
      <c r="G40" s="7">
        <v>1.0</v>
      </c>
      <c r="H40" s="7" t="s">
        <v>14</v>
      </c>
      <c r="I40" s="49">
        <v>250000.0</v>
      </c>
      <c r="J40" s="9">
        <f t="shared" si="6"/>
        <v>250000</v>
      </c>
      <c r="K40" s="30" t="s">
        <v>69</v>
      </c>
    </row>
    <row r="41">
      <c r="B41" s="11"/>
      <c r="C41" s="32"/>
      <c r="D41" s="6" t="s">
        <v>70</v>
      </c>
      <c r="E41" s="7">
        <v>1.0</v>
      </c>
      <c r="F41" s="7" t="s">
        <v>13</v>
      </c>
      <c r="G41" s="7">
        <v>1.0</v>
      </c>
      <c r="H41" s="7" t="s">
        <v>14</v>
      </c>
      <c r="I41" s="50" t="s">
        <v>71</v>
      </c>
      <c r="J41" s="50" t="s">
        <v>71</v>
      </c>
      <c r="K41" s="51" t="s">
        <v>72</v>
      </c>
    </row>
    <row r="42">
      <c r="B42" s="11"/>
      <c r="C42" s="48" t="s">
        <v>55</v>
      </c>
      <c r="D42" s="6" t="s">
        <v>73</v>
      </c>
      <c r="E42" s="7">
        <v>1.0</v>
      </c>
      <c r="F42" s="7" t="s">
        <v>13</v>
      </c>
      <c r="G42" s="7">
        <v>1.0</v>
      </c>
      <c r="H42" s="7" t="s">
        <v>14</v>
      </c>
      <c r="I42" s="49">
        <v>100000.0</v>
      </c>
      <c r="J42" s="9">
        <f t="shared" ref="J42:J45" si="7">E42*G42*I42</f>
        <v>100000</v>
      </c>
      <c r="K42" s="52"/>
    </row>
    <row r="43">
      <c r="B43" s="11"/>
      <c r="C43" s="11"/>
      <c r="D43" s="6" t="s">
        <v>74</v>
      </c>
      <c r="E43" s="7">
        <v>1.0</v>
      </c>
      <c r="F43" s="7" t="s">
        <v>13</v>
      </c>
      <c r="G43" s="7">
        <v>1.0</v>
      </c>
      <c r="H43" s="7" t="s">
        <v>14</v>
      </c>
      <c r="I43" s="49">
        <v>100000.0</v>
      </c>
      <c r="J43" s="9">
        <f t="shared" si="7"/>
        <v>100000</v>
      </c>
      <c r="K43" s="53" t="s">
        <v>75</v>
      </c>
    </row>
    <row r="44">
      <c r="B44" s="11"/>
      <c r="C44" s="11"/>
      <c r="D44" s="6" t="s">
        <v>76</v>
      </c>
      <c r="E44" s="7">
        <v>1.0</v>
      </c>
      <c r="F44" s="7" t="s">
        <v>13</v>
      </c>
      <c r="G44" s="7">
        <v>1.0</v>
      </c>
      <c r="H44" s="7" t="s">
        <v>14</v>
      </c>
      <c r="I44" s="49">
        <v>800000.0</v>
      </c>
      <c r="J44" s="49">
        <f t="shared" si="7"/>
        <v>800000</v>
      </c>
      <c r="K44" s="53" t="s">
        <v>77</v>
      </c>
    </row>
    <row r="45">
      <c r="B45" s="32"/>
      <c r="C45" s="32"/>
      <c r="D45" s="6" t="s">
        <v>58</v>
      </c>
      <c r="E45" s="7">
        <v>1.0</v>
      </c>
      <c r="F45" s="7" t="s">
        <v>13</v>
      </c>
      <c r="G45" s="7">
        <v>1.0</v>
      </c>
      <c r="H45" s="7" t="s">
        <v>14</v>
      </c>
      <c r="I45" s="8">
        <v>200000.0</v>
      </c>
      <c r="J45" s="9">
        <f t="shared" si="7"/>
        <v>200000</v>
      </c>
      <c r="K45" s="36" t="s">
        <v>59</v>
      </c>
    </row>
  </sheetData>
  <mergeCells count="22">
    <mergeCell ref="C18:C21"/>
    <mergeCell ref="C22:I22"/>
    <mergeCell ref="C23:C25"/>
    <mergeCell ref="C26:I26"/>
    <mergeCell ref="C29:I29"/>
    <mergeCell ref="C32:I32"/>
    <mergeCell ref="B33:I33"/>
    <mergeCell ref="B34:I34"/>
    <mergeCell ref="B36:I36"/>
    <mergeCell ref="B27:B32"/>
    <mergeCell ref="C27:C28"/>
    <mergeCell ref="C30:C31"/>
    <mergeCell ref="B38:B45"/>
    <mergeCell ref="C38:C41"/>
    <mergeCell ref="C42:C45"/>
    <mergeCell ref="B5:B6"/>
    <mergeCell ref="C5:C6"/>
    <mergeCell ref="B7:I7"/>
    <mergeCell ref="B9:I9"/>
    <mergeCell ref="B12:B26"/>
    <mergeCell ref="C12:C16"/>
    <mergeCell ref="C17:I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.75"/>
    <col customWidth="1" min="3" max="3" width="18.25"/>
    <col customWidth="1" min="4" max="4" width="26.63"/>
    <col customWidth="1" min="5" max="8" width="5.25"/>
    <col customWidth="1" min="9" max="10" width="14.13"/>
    <col customWidth="1" min="11" max="11" width="64.5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>
      <c r="A2" s="54"/>
      <c r="B2" s="55" t="s">
        <v>78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</row>
    <row r="3">
      <c r="A3" s="54"/>
      <c r="B3" s="56" t="s">
        <v>79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</row>
    <row r="5">
      <c r="A5" s="54"/>
      <c r="B5" s="57" t="s">
        <v>1</v>
      </c>
      <c r="C5" s="58" t="s">
        <v>2</v>
      </c>
      <c r="D5" s="57" t="s">
        <v>3</v>
      </c>
      <c r="E5" s="57" t="s">
        <v>4</v>
      </c>
      <c r="F5" s="57" t="s">
        <v>5</v>
      </c>
      <c r="G5" s="57" t="s">
        <v>6</v>
      </c>
      <c r="H5" s="57" t="s">
        <v>5</v>
      </c>
      <c r="I5" s="57" t="s">
        <v>7</v>
      </c>
      <c r="J5" s="57" t="s">
        <v>8</v>
      </c>
      <c r="K5" s="58" t="s">
        <v>9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</row>
    <row r="6">
      <c r="A6" s="54"/>
      <c r="B6" s="4" t="s">
        <v>10</v>
      </c>
      <c r="C6" s="5" t="s">
        <v>11</v>
      </c>
      <c r="D6" s="59" t="s">
        <v>12</v>
      </c>
      <c r="E6" s="60">
        <v>1.0</v>
      </c>
      <c r="F6" s="60" t="s">
        <v>13</v>
      </c>
      <c r="G6" s="60">
        <v>1.0</v>
      </c>
      <c r="H6" s="60" t="s">
        <v>14</v>
      </c>
      <c r="I6" s="61">
        <v>200000.0</v>
      </c>
      <c r="J6" s="62">
        <f t="shared" ref="J6:J7" si="1">E6*G6*I6</f>
        <v>200000</v>
      </c>
      <c r="K6" s="63" t="s">
        <v>15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</row>
    <row r="7">
      <c r="A7" s="54"/>
      <c r="C7" s="11"/>
      <c r="D7" s="59" t="s">
        <v>16</v>
      </c>
      <c r="E7" s="60">
        <v>1.0</v>
      </c>
      <c r="F7" s="60" t="s">
        <v>13</v>
      </c>
      <c r="G7" s="60">
        <v>3.0</v>
      </c>
      <c r="H7" s="60" t="s">
        <v>17</v>
      </c>
      <c r="I7" s="61">
        <v>600000.0</v>
      </c>
      <c r="J7" s="62">
        <f t="shared" si="1"/>
        <v>1800000</v>
      </c>
      <c r="K7" s="64" t="s">
        <v>18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</row>
    <row r="8">
      <c r="A8" s="54"/>
      <c r="B8" s="13" t="s">
        <v>19</v>
      </c>
      <c r="C8" s="14"/>
      <c r="D8" s="14"/>
      <c r="E8" s="14"/>
      <c r="F8" s="14"/>
      <c r="G8" s="14"/>
      <c r="H8" s="14"/>
      <c r="I8" s="15"/>
      <c r="J8" s="65">
        <f>sum(J6:J7)</f>
        <v>2000000</v>
      </c>
      <c r="K8" s="66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</row>
    <row r="10">
      <c r="A10" s="54"/>
      <c r="B10" s="18" t="s">
        <v>20</v>
      </c>
      <c r="C10" s="19"/>
      <c r="D10" s="19"/>
      <c r="E10" s="19"/>
      <c r="F10" s="19"/>
      <c r="G10" s="19"/>
      <c r="H10" s="19"/>
      <c r="I10" s="20"/>
      <c r="J10" s="67"/>
      <c r="K10" s="6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</row>
    <row r="11">
      <c r="A11" s="54"/>
      <c r="B11" s="69" t="s">
        <v>80</v>
      </c>
      <c r="C11" s="70"/>
      <c r="D11" s="71"/>
      <c r="E11" s="71"/>
      <c r="F11" s="71"/>
      <c r="G11" s="71"/>
      <c r="H11" s="71"/>
      <c r="I11" s="71"/>
      <c r="J11" s="71"/>
      <c r="K11" s="70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</row>
    <row r="12">
      <c r="A12" s="54"/>
      <c r="B12" s="57" t="s">
        <v>1</v>
      </c>
      <c r="C12" s="58" t="s">
        <v>2</v>
      </c>
      <c r="D12" s="57" t="s">
        <v>3</v>
      </c>
      <c r="E12" s="57" t="s">
        <v>81</v>
      </c>
      <c r="F12" s="57" t="s">
        <v>5</v>
      </c>
      <c r="G12" s="57" t="s">
        <v>82</v>
      </c>
      <c r="H12" s="57" t="s">
        <v>5</v>
      </c>
      <c r="I12" s="57" t="s">
        <v>83</v>
      </c>
      <c r="J12" s="57" t="s">
        <v>8</v>
      </c>
      <c r="K12" s="58" t="s">
        <v>9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</row>
    <row r="13">
      <c r="A13" s="54"/>
      <c r="B13" s="5" t="s">
        <v>22</v>
      </c>
      <c r="C13" s="5" t="s">
        <v>84</v>
      </c>
      <c r="D13" s="59" t="s">
        <v>85</v>
      </c>
      <c r="E13" s="60">
        <v>1.0</v>
      </c>
      <c r="F13" s="60" t="s">
        <v>86</v>
      </c>
      <c r="G13" s="60">
        <v>4.0</v>
      </c>
      <c r="H13" s="60" t="s">
        <v>87</v>
      </c>
      <c r="I13" s="61">
        <v>50000.0</v>
      </c>
      <c r="J13" s="62">
        <f t="shared" ref="J13:J20" si="2">E13*G13*I13</f>
        <v>200000</v>
      </c>
      <c r="K13" s="72" t="s">
        <v>25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</row>
    <row r="14">
      <c r="A14" s="54"/>
      <c r="B14" s="11"/>
      <c r="C14" s="11"/>
      <c r="D14" s="59" t="s">
        <v>88</v>
      </c>
      <c r="E14" s="60">
        <v>1.0</v>
      </c>
      <c r="F14" s="60" t="s">
        <v>86</v>
      </c>
      <c r="G14" s="60">
        <v>3.0</v>
      </c>
      <c r="H14" s="60" t="s">
        <v>87</v>
      </c>
      <c r="I14" s="61">
        <v>50000.0</v>
      </c>
      <c r="J14" s="62">
        <f t="shared" si="2"/>
        <v>150000</v>
      </c>
      <c r="K14" s="73" t="s">
        <v>27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</row>
    <row r="15">
      <c r="A15" s="54"/>
      <c r="B15" s="11"/>
      <c r="C15" s="11"/>
      <c r="D15" s="59" t="s">
        <v>43</v>
      </c>
      <c r="E15" s="60">
        <v>2.0</v>
      </c>
      <c r="F15" s="60" t="s">
        <v>86</v>
      </c>
      <c r="G15" s="60">
        <v>6.0</v>
      </c>
      <c r="H15" s="60" t="s">
        <v>87</v>
      </c>
      <c r="I15" s="61">
        <v>50000.0</v>
      </c>
      <c r="J15" s="62">
        <f t="shared" si="2"/>
        <v>600000</v>
      </c>
      <c r="K15" s="73" t="s">
        <v>89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</row>
    <row r="16">
      <c r="A16" s="54"/>
      <c r="B16" s="11"/>
      <c r="C16" s="11"/>
      <c r="D16" s="59" t="s">
        <v>90</v>
      </c>
      <c r="E16" s="60">
        <v>1.0</v>
      </c>
      <c r="F16" s="60" t="s">
        <v>86</v>
      </c>
      <c r="G16" s="60">
        <v>3.0</v>
      </c>
      <c r="H16" s="60" t="s">
        <v>87</v>
      </c>
      <c r="I16" s="61">
        <v>50000.0</v>
      </c>
      <c r="J16" s="62">
        <f t="shared" si="2"/>
        <v>150000</v>
      </c>
      <c r="K16" s="73" t="s">
        <v>91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</row>
    <row r="17">
      <c r="A17" s="54"/>
      <c r="B17" s="11"/>
      <c r="C17" s="11"/>
      <c r="D17" s="59" t="s">
        <v>92</v>
      </c>
      <c r="E17" s="60">
        <v>1.0</v>
      </c>
      <c r="F17" s="60" t="s">
        <v>86</v>
      </c>
      <c r="G17" s="60">
        <v>4.0</v>
      </c>
      <c r="H17" s="60" t="s">
        <v>87</v>
      </c>
      <c r="I17" s="61">
        <v>50000.0</v>
      </c>
      <c r="J17" s="62">
        <f t="shared" si="2"/>
        <v>200000</v>
      </c>
      <c r="K17" s="73" t="s">
        <v>93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</row>
    <row r="18" ht="30.0" customHeight="1">
      <c r="A18" s="54"/>
      <c r="B18" s="11"/>
      <c r="C18" s="11"/>
      <c r="D18" s="59" t="s">
        <v>94</v>
      </c>
      <c r="E18" s="60">
        <v>3.0</v>
      </c>
      <c r="F18" s="60" t="s">
        <v>86</v>
      </c>
      <c r="G18" s="60">
        <v>2.0</v>
      </c>
      <c r="H18" s="60" t="s">
        <v>87</v>
      </c>
      <c r="I18" s="61">
        <v>50000.0</v>
      </c>
      <c r="J18" s="62">
        <f t="shared" si="2"/>
        <v>300000</v>
      </c>
      <c r="K18" s="73" t="s">
        <v>95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</row>
    <row r="19" ht="30.0" customHeight="1">
      <c r="A19" s="54"/>
      <c r="B19" s="11"/>
      <c r="C19" s="11"/>
      <c r="D19" s="59" t="s">
        <v>96</v>
      </c>
      <c r="E19" s="60">
        <v>2.0</v>
      </c>
      <c r="F19" s="60" t="s">
        <v>86</v>
      </c>
      <c r="G19" s="60">
        <v>5.5</v>
      </c>
      <c r="H19" s="60" t="s">
        <v>87</v>
      </c>
      <c r="I19" s="61">
        <v>50000.0</v>
      </c>
      <c r="J19" s="62">
        <f t="shared" si="2"/>
        <v>550000</v>
      </c>
      <c r="K19" s="74" t="s">
        <v>97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</row>
    <row r="20" ht="30.0" customHeight="1">
      <c r="A20" s="54"/>
      <c r="B20" s="11"/>
      <c r="C20" s="11"/>
      <c r="D20" s="59" t="s">
        <v>98</v>
      </c>
      <c r="E20" s="60">
        <v>2.0</v>
      </c>
      <c r="F20" s="60" t="s">
        <v>86</v>
      </c>
      <c r="G20" s="60">
        <v>5.5</v>
      </c>
      <c r="H20" s="60" t="s">
        <v>87</v>
      </c>
      <c r="I20" s="61">
        <v>50000.0</v>
      </c>
      <c r="J20" s="62">
        <f t="shared" si="2"/>
        <v>550000</v>
      </c>
      <c r="K20" s="32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</row>
    <row r="21">
      <c r="A21" s="54"/>
      <c r="B21" s="11"/>
      <c r="C21" s="13" t="s">
        <v>37</v>
      </c>
      <c r="D21" s="14"/>
      <c r="E21" s="14"/>
      <c r="F21" s="14"/>
      <c r="G21" s="14"/>
      <c r="H21" s="14"/>
      <c r="I21" s="15"/>
      <c r="J21" s="65">
        <f>sum(J13:J20)</f>
        <v>2700000</v>
      </c>
      <c r="K21" s="75" t="s">
        <v>99</v>
      </c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</row>
    <row r="22">
      <c r="A22" s="54"/>
      <c r="B22" s="11"/>
      <c r="C22" s="76" t="s">
        <v>100</v>
      </c>
      <c r="D22" s="77" t="s">
        <v>101</v>
      </c>
      <c r="E22" s="78"/>
      <c r="F22" s="78"/>
      <c r="G22" s="78"/>
      <c r="H22" s="78"/>
      <c r="I22" s="78"/>
      <c r="J22" s="78"/>
      <c r="K22" s="79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</row>
    <row r="23">
      <c r="A23" s="54"/>
      <c r="B23" s="11"/>
      <c r="C23" s="11"/>
      <c r="D23" s="37"/>
      <c r="K23" s="80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</row>
    <row r="24">
      <c r="A24" s="54"/>
      <c r="B24" s="11"/>
      <c r="C24" s="11"/>
      <c r="D24" s="37"/>
      <c r="K24" s="80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</row>
    <row r="25">
      <c r="A25" s="54"/>
      <c r="B25" s="11"/>
      <c r="C25" s="11"/>
      <c r="D25" s="37"/>
      <c r="K25" s="80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</row>
    <row r="26">
      <c r="A26" s="54"/>
      <c r="B26" s="11"/>
      <c r="C26" s="81" t="s">
        <v>44</v>
      </c>
      <c r="D26" s="38"/>
      <c r="E26" s="14"/>
      <c r="F26" s="14"/>
      <c r="G26" s="14"/>
      <c r="H26" s="14"/>
      <c r="I26" s="14"/>
      <c r="J26" s="14"/>
      <c r="K26" s="15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</row>
    <row r="27">
      <c r="A27" s="54"/>
      <c r="B27" s="11"/>
      <c r="C27" s="5" t="s">
        <v>102</v>
      </c>
      <c r="D27" s="60" t="s">
        <v>24</v>
      </c>
      <c r="E27" s="60">
        <v>1.0</v>
      </c>
      <c r="F27" s="60" t="s">
        <v>13</v>
      </c>
      <c r="G27" s="60">
        <v>1.0</v>
      </c>
      <c r="H27" s="60" t="s">
        <v>14</v>
      </c>
      <c r="I27" s="82">
        <v>200000.0</v>
      </c>
      <c r="J27" s="62">
        <f t="shared" ref="J27:J30" si="3">E27*G27*I27</f>
        <v>200000</v>
      </c>
      <c r="K27" s="36" t="s">
        <v>103</v>
      </c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</row>
    <row r="28">
      <c r="A28" s="54"/>
      <c r="B28" s="11"/>
      <c r="C28" s="83"/>
      <c r="D28" s="60" t="s">
        <v>43</v>
      </c>
      <c r="E28" s="60">
        <v>1.0</v>
      </c>
      <c r="F28" s="60" t="s">
        <v>13</v>
      </c>
      <c r="G28" s="60">
        <v>1.0</v>
      </c>
      <c r="H28" s="60" t="s">
        <v>14</v>
      </c>
      <c r="I28" s="82">
        <v>600000.0</v>
      </c>
      <c r="J28" s="62">
        <f t="shared" si="3"/>
        <v>600000</v>
      </c>
      <c r="K28" s="36" t="s">
        <v>104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</row>
    <row r="29">
      <c r="A29" s="54"/>
      <c r="B29" s="11"/>
      <c r="C29" s="83"/>
      <c r="D29" s="60" t="s">
        <v>105</v>
      </c>
      <c r="E29" s="60">
        <v>1.0</v>
      </c>
      <c r="F29" s="60" t="s">
        <v>13</v>
      </c>
      <c r="G29" s="60">
        <v>1.0</v>
      </c>
      <c r="H29" s="60" t="s">
        <v>14</v>
      </c>
      <c r="I29" s="82">
        <v>150000.0</v>
      </c>
      <c r="J29" s="62">
        <f t="shared" si="3"/>
        <v>150000</v>
      </c>
      <c r="K29" s="41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</row>
    <row r="30">
      <c r="A30" s="54"/>
      <c r="B30" s="11"/>
      <c r="C30" s="84"/>
      <c r="D30" s="60" t="s">
        <v>34</v>
      </c>
      <c r="E30" s="85">
        <v>1.0</v>
      </c>
      <c r="F30" s="85" t="s">
        <v>13</v>
      </c>
      <c r="G30" s="60">
        <v>2.0</v>
      </c>
      <c r="H30" s="60" t="s">
        <v>35</v>
      </c>
      <c r="I30" s="82">
        <v>300000.0</v>
      </c>
      <c r="J30" s="62">
        <f t="shared" si="3"/>
        <v>600000</v>
      </c>
      <c r="K30" s="36" t="s">
        <v>106</v>
      </c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</row>
    <row r="31">
      <c r="A31" s="54"/>
      <c r="B31" s="32"/>
      <c r="C31" s="13" t="s">
        <v>47</v>
      </c>
      <c r="D31" s="14"/>
      <c r="E31" s="14"/>
      <c r="F31" s="14"/>
      <c r="G31" s="14"/>
      <c r="H31" s="14"/>
      <c r="I31" s="15"/>
      <c r="J31" s="65">
        <f>sum(J27:J30)</f>
        <v>1550000</v>
      </c>
      <c r="K31" s="66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</row>
    <row r="32">
      <c r="A32" s="54"/>
      <c r="B32" s="33" t="s">
        <v>48</v>
      </c>
      <c r="C32" s="34" t="s">
        <v>49</v>
      </c>
      <c r="D32" s="35" t="s">
        <v>50</v>
      </c>
      <c r="E32" s="60">
        <v>1.0</v>
      </c>
      <c r="F32" s="60" t="s">
        <v>13</v>
      </c>
      <c r="G32" s="60">
        <v>1.0</v>
      </c>
      <c r="H32" s="60" t="s">
        <v>14</v>
      </c>
      <c r="I32" s="61">
        <v>200000.0</v>
      </c>
      <c r="J32" s="62">
        <f t="shared" ref="J32:J33" si="4">E32*G32*I32</f>
        <v>200000</v>
      </c>
      <c r="K32" s="86" t="s">
        <v>107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</row>
    <row r="33">
      <c r="A33" s="54"/>
      <c r="B33" s="37"/>
      <c r="C33" s="14"/>
      <c r="D33" s="35" t="s">
        <v>52</v>
      </c>
      <c r="E33" s="60">
        <v>1.0</v>
      </c>
      <c r="F33" s="60" t="s">
        <v>13</v>
      </c>
      <c r="G33" s="60">
        <v>1.0</v>
      </c>
      <c r="H33" s="60" t="s">
        <v>14</v>
      </c>
      <c r="I33" s="61">
        <v>250000.0</v>
      </c>
      <c r="J33" s="62">
        <f t="shared" si="4"/>
        <v>250000</v>
      </c>
      <c r="K33" s="36" t="s">
        <v>53</v>
      </c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</row>
    <row r="34">
      <c r="A34" s="54"/>
      <c r="B34" s="37"/>
      <c r="C34" s="13" t="s">
        <v>54</v>
      </c>
      <c r="D34" s="14"/>
      <c r="E34" s="14"/>
      <c r="F34" s="14"/>
      <c r="G34" s="14"/>
      <c r="H34" s="14"/>
      <c r="I34" s="15"/>
      <c r="J34" s="65">
        <f>sum(J32:J33)</f>
        <v>450000</v>
      </c>
      <c r="K34" s="66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</row>
    <row r="35">
      <c r="A35" s="54"/>
      <c r="B35" s="37"/>
      <c r="C35" s="34" t="s">
        <v>55</v>
      </c>
      <c r="D35" s="35" t="s">
        <v>56</v>
      </c>
      <c r="E35" s="60">
        <v>1.0</v>
      </c>
      <c r="F35" s="60" t="s">
        <v>13</v>
      </c>
      <c r="G35" s="60">
        <v>1.0</v>
      </c>
      <c r="H35" s="60" t="s">
        <v>14</v>
      </c>
      <c r="I35" s="61">
        <v>200000.0</v>
      </c>
      <c r="J35" s="62">
        <f t="shared" ref="J35:J36" si="5">E35*G35*I35</f>
        <v>200000</v>
      </c>
      <c r="K35" s="36" t="s">
        <v>57</v>
      </c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</row>
    <row r="36">
      <c r="A36" s="54"/>
      <c r="B36" s="37"/>
      <c r="C36" s="14"/>
      <c r="D36" s="35" t="s">
        <v>58</v>
      </c>
      <c r="E36" s="60">
        <v>1.0</v>
      </c>
      <c r="F36" s="60" t="s">
        <v>13</v>
      </c>
      <c r="G36" s="60">
        <v>1.0</v>
      </c>
      <c r="H36" s="60" t="s">
        <v>14</v>
      </c>
      <c r="I36" s="61">
        <v>200000.0</v>
      </c>
      <c r="J36" s="62">
        <f t="shared" si="5"/>
        <v>200000</v>
      </c>
      <c r="K36" s="36" t="s">
        <v>59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</row>
    <row r="37">
      <c r="A37" s="54"/>
      <c r="B37" s="38"/>
      <c r="C37" s="13" t="s">
        <v>54</v>
      </c>
      <c r="D37" s="14"/>
      <c r="E37" s="14"/>
      <c r="F37" s="14"/>
      <c r="G37" s="14"/>
      <c r="H37" s="14"/>
      <c r="I37" s="15"/>
      <c r="J37" s="65">
        <f>sum(J35:J36)</f>
        <v>400000</v>
      </c>
      <c r="K37" s="66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>
      <c r="A38" s="87"/>
      <c r="B38" s="39" t="s">
        <v>60</v>
      </c>
      <c r="C38" s="19"/>
      <c r="D38" s="19"/>
      <c r="E38" s="19"/>
      <c r="F38" s="19"/>
      <c r="G38" s="19"/>
      <c r="H38" s="19"/>
      <c r="I38" s="20"/>
      <c r="J38" s="40">
        <v>200000.0</v>
      </c>
      <c r="K38" s="41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</row>
    <row r="39">
      <c r="A39" s="87"/>
      <c r="B39" s="42" t="s">
        <v>61</v>
      </c>
      <c r="C39" s="19"/>
      <c r="D39" s="19"/>
      <c r="E39" s="19"/>
      <c r="F39" s="19"/>
      <c r="G39" s="19"/>
      <c r="H39" s="19"/>
      <c r="I39" s="20"/>
      <c r="J39" s="88">
        <f>J21*2+J31+J34+J37+J38-50000</f>
        <v>7950000</v>
      </c>
      <c r="K39" s="89" t="s">
        <v>108</v>
      </c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</row>
    <row r="40">
      <c r="A40" s="54"/>
      <c r="B40" s="90"/>
      <c r="C40" s="90"/>
      <c r="D40" s="90"/>
      <c r="E40" s="90"/>
      <c r="F40" s="90"/>
      <c r="G40" s="90"/>
      <c r="H40" s="90"/>
      <c r="I40" s="91"/>
      <c r="J40" s="91"/>
      <c r="K40" s="90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>
      <c r="A41" s="54"/>
      <c r="B41" s="18" t="s">
        <v>63</v>
      </c>
      <c r="C41" s="19"/>
      <c r="D41" s="19"/>
      <c r="E41" s="19"/>
      <c r="F41" s="19"/>
      <c r="G41" s="19"/>
      <c r="H41" s="19"/>
      <c r="I41" s="20"/>
      <c r="J41" s="67"/>
      <c r="K41" s="68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>
      <c r="A42" s="54"/>
      <c r="B42" s="69" t="s">
        <v>64</v>
      </c>
      <c r="C42" s="70"/>
      <c r="D42" s="71"/>
      <c r="E42" s="71"/>
      <c r="F42" s="71"/>
      <c r="G42" s="71"/>
      <c r="H42" s="71"/>
      <c r="I42" s="71"/>
      <c r="J42" s="71"/>
      <c r="K42" s="70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>
      <c r="A43" s="54"/>
      <c r="B43" s="5" t="s">
        <v>48</v>
      </c>
      <c r="C43" s="48" t="s">
        <v>49</v>
      </c>
      <c r="D43" s="59" t="s">
        <v>50</v>
      </c>
      <c r="E43" s="60">
        <v>1.0</v>
      </c>
      <c r="F43" s="60" t="s">
        <v>13</v>
      </c>
      <c r="G43" s="60">
        <v>1.0</v>
      </c>
      <c r="H43" s="60" t="s">
        <v>14</v>
      </c>
      <c r="I43" s="61">
        <v>200000.0</v>
      </c>
      <c r="J43" s="62">
        <f t="shared" ref="J43:J45" si="6">E43*G43*I43</f>
        <v>200000</v>
      </c>
      <c r="K43" s="36" t="s">
        <v>65</v>
      </c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>
      <c r="A44" s="54"/>
      <c r="B44" s="11"/>
      <c r="C44" s="11"/>
      <c r="D44" s="59" t="s">
        <v>66</v>
      </c>
      <c r="E44" s="60">
        <v>1.0</v>
      </c>
      <c r="F44" s="60" t="s">
        <v>13</v>
      </c>
      <c r="G44" s="60">
        <v>1.0</v>
      </c>
      <c r="H44" s="60" t="s">
        <v>14</v>
      </c>
      <c r="I44" s="61">
        <v>250000.0</v>
      </c>
      <c r="J44" s="62">
        <f t="shared" si="6"/>
        <v>250000</v>
      </c>
      <c r="K44" s="36" t="s">
        <v>67</v>
      </c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>
      <c r="A45" s="54"/>
      <c r="B45" s="11"/>
      <c r="C45" s="11"/>
      <c r="D45" s="59" t="s">
        <v>68</v>
      </c>
      <c r="E45" s="60">
        <v>1.0</v>
      </c>
      <c r="F45" s="60" t="s">
        <v>13</v>
      </c>
      <c r="G45" s="60">
        <v>1.0</v>
      </c>
      <c r="H45" s="60" t="s">
        <v>14</v>
      </c>
      <c r="I45" s="61">
        <v>250000.0</v>
      </c>
      <c r="J45" s="62">
        <f t="shared" si="6"/>
        <v>250000</v>
      </c>
      <c r="K45" s="36" t="s">
        <v>69</v>
      </c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>
      <c r="A46" s="54"/>
      <c r="B46" s="11"/>
      <c r="C46" s="32"/>
      <c r="D46" s="59" t="s">
        <v>70</v>
      </c>
      <c r="E46" s="60">
        <v>1.0</v>
      </c>
      <c r="F46" s="60" t="s">
        <v>13</v>
      </c>
      <c r="G46" s="60">
        <v>1.0</v>
      </c>
      <c r="H46" s="60" t="s">
        <v>14</v>
      </c>
      <c r="I46" s="92" t="s">
        <v>71</v>
      </c>
      <c r="J46" s="92" t="s">
        <v>71</v>
      </c>
      <c r="K46" s="93" t="s">
        <v>72</v>
      </c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>
      <c r="A47" s="54"/>
      <c r="B47" s="11"/>
      <c r="C47" s="48" t="s">
        <v>55</v>
      </c>
      <c r="D47" s="59" t="s">
        <v>73</v>
      </c>
      <c r="E47" s="60">
        <v>1.0</v>
      </c>
      <c r="F47" s="60" t="s">
        <v>13</v>
      </c>
      <c r="G47" s="60">
        <v>1.0</v>
      </c>
      <c r="H47" s="60" t="s">
        <v>14</v>
      </c>
      <c r="I47" s="61">
        <v>100000.0</v>
      </c>
      <c r="J47" s="62">
        <f t="shared" ref="J47:J50" si="7">E47*G47*I47</f>
        <v>100000</v>
      </c>
      <c r="K47" s="9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>
      <c r="A48" s="54"/>
      <c r="B48" s="11"/>
      <c r="C48" s="11"/>
      <c r="D48" s="59" t="s">
        <v>74</v>
      </c>
      <c r="E48" s="60">
        <v>1.0</v>
      </c>
      <c r="F48" s="60" t="s">
        <v>13</v>
      </c>
      <c r="G48" s="60">
        <v>1.0</v>
      </c>
      <c r="H48" s="60" t="s">
        <v>14</v>
      </c>
      <c r="I48" s="61">
        <v>100000.0</v>
      </c>
      <c r="J48" s="62">
        <f t="shared" si="7"/>
        <v>100000</v>
      </c>
      <c r="K48" s="95" t="s">
        <v>75</v>
      </c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>
      <c r="A49" s="54"/>
      <c r="B49" s="11"/>
      <c r="C49" s="11"/>
      <c r="D49" s="59" t="s">
        <v>76</v>
      </c>
      <c r="E49" s="60">
        <v>1.0</v>
      </c>
      <c r="F49" s="60" t="s">
        <v>13</v>
      </c>
      <c r="G49" s="60">
        <v>1.0</v>
      </c>
      <c r="H49" s="60" t="s">
        <v>14</v>
      </c>
      <c r="I49" s="61">
        <v>800000.0</v>
      </c>
      <c r="J49" s="61">
        <f t="shared" si="7"/>
        <v>800000</v>
      </c>
      <c r="K49" s="95" t="s">
        <v>77</v>
      </c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>
      <c r="A50" s="54"/>
      <c r="B50" s="32"/>
      <c r="C50" s="32"/>
      <c r="D50" s="59" t="s">
        <v>58</v>
      </c>
      <c r="E50" s="60">
        <v>1.0</v>
      </c>
      <c r="F50" s="60" t="s">
        <v>13</v>
      </c>
      <c r="G50" s="60">
        <v>1.0</v>
      </c>
      <c r="H50" s="60" t="s">
        <v>14</v>
      </c>
      <c r="I50" s="61">
        <v>200000.0</v>
      </c>
      <c r="J50" s="62">
        <f t="shared" si="7"/>
        <v>200000</v>
      </c>
      <c r="K50" s="36" t="s">
        <v>59</v>
      </c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</row>
    <row r="100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</row>
    <row r="1003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</row>
    <row r="1004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</row>
    <row r="1005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</row>
    <row r="1006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</row>
    <row r="1007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</row>
    <row r="1008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</row>
    <row r="1009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</row>
    <row r="1010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</row>
    <row r="101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</row>
    <row r="1012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</row>
    <row r="1013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</row>
    <row r="1014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</row>
    <row r="1015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</row>
    <row r="1016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</row>
    <row r="1017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</row>
    <row r="1018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</row>
    <row r="1019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</row>
    <row r="1020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  <c r="AA1020" s="54"/>
      <c r="AB1020" s="54"/>
      <c r="AC1020" s="54"/>
      <c r="AD1020" s="54"/>
    </row>
    <row r="1021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</row>
    <row r="1022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  <c r="AA1022" s="54"/>
      <c r="AB1022" s="54"/>
      <c r="AC1022" s="54"/>
      <c r="AD1022" s="54"/>
    </row>
    <row r="1023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  <c r="AA1023" s="54"/>
      <c r="AB1023" s="54"/>
      <c r="AC1023" s="54"/>
      <c r="AD1023" s="54"/>
    </row>
    <row r="1024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/>
      <c r="AB1024" s="54"/>
      <c r="AC1024" s="54"/>
      <c r="AD1024" s="54"/>
    </row>
    <row r="1025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  <c r="AA1025" s="54"/>
      <c r="AB1025" s="54"/>
      <c r="AC1025" s="54"/>
      <c r="AD1025" s="54"/>
    </row>
    <row r="1026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</row>
    <row r="1027">
      <c r="A1027" s="54"/>
      <c r="B1027" s="54"/>
      <c r="C1027" s="54"/>
      <c r="D1027" s="54"/>
      <c r="E1027" s="54"/>
      <c r="F1027" s="54"/>
      <c r="G1027" s="54"/>
      <c r="H1027" s="54"/>
      <c r="I1027" s="54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  <c r="AA1027" s="54"/>
      <c r="AB1027" s="54"/>
      <c r="AC1027" s="54"/>
      <c r="AD1027" s="54"/>
    </row>
    <row r="1028">
      <c r="A1028" s="54"/>
      <c r="B1028" s="54"/>
      <c r="C1028" s="54"/>
      <c r="D1028" s="54"/>
      <c r="E1028" s="54"/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  <c r="AA1028" s="54"/>
      <c r="AB1028" s="54"/>
      <c r="AC1028" s="54"/>
      <c r="AD1028" s="54"/>
    </row>
    <row r="1029">
      <c r="A1029" s="54"/>
      <c r="B1029" s="54"/>
      <c r="C1029" s="54"/>
      <c r="D1029" s="54"/>
      <c r="E1029" s="54"/>
      <c r="F1029" s="54"/>
      <c r="G1029" s="54"/>
      <c r="H1029" s="54"/>
      <c r="I1029" s="54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  <c r="AA1029" s="54"/>
      <c r="AB1029" s="54"/>
      <c r="AC1029" s="54"/>
      <c r="AD1029" s="54"/>
    </row>
    <row r="1030">
      <c r="A1030" s="54"/>
      <c r="B1030" s="54"/>
      <c r="C1030" s="54"/>
      <c r="D1030" s="54"/>
      <c r="E1030" s="54"/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  <c r="AA1030" s="54"/>
      <c r="AB1030" s="54"/>
      <c r="AC1030" s="54"/>
      <c r="AD1030" s="54"/>
    </row>
    <row r="1031">
      <c r="A1031" s="54"/>
      <c r="B1031" s="54"/>
      <c r="C1031" s="54"/>
      <c r="D1031" s="54"/>
      <c r="E1031" s="54"/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  <c r="AA1031" s="54"/>
      <c r="AB1031" s="54"/>
      <c r="AC1031" s="54"/>
      <c r="AD1031" s="54"/>
    </row>
    <row r="1032">
      <c r="A1032" s="54"/>
      <c r="B1032" s="54"/>
      <c r="C1032" s="54"/>
      <c r="D1032" s="54"/>
      <c r="E1032" s="54"/>
      <c r="F1032" s="54"/>
      <c r="G1032" s="54"/>
      <c r="H1032" s="54"/>
      <c r="I1032" s="54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</row>
    <row r="1033">
      <c r="A1033" s="54"/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</row>
    <row r="1034">
      <c r="A1034" s="54"/>
      <c r="B1034" s="54"/>
      <c r="C1034" s="54"/>
      <c r="D1034" s="54"/>
      <c r="E1034" s="54"/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  <c r="V1034" s="54"/>
      <c r="W1034" s="54"/>
      <c r="X1034" s="54"/>
      <c r="Y1034" s="54"/>
      <c r="Z1034" s="54"/>
      <c r="AA1034" s="54"/>
      <c r="AB1034" s="54"/>
      <c r="AC1034" s="54"/>
      <c r="AD1034" s="54"/>
    </row>
    <row r="1035">
      <c r="A1035" s="54"/>
      <c r="B1035" s="54"/>
      <c r="C1035" s="54"/>
      <c r="D1035" s="54"/>
      <c r="E1035" s="54"/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</row>
    <row r="1036">
      <c r="A1036" s="54"/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</row>
    <row r="1037">
      <c r="A1037" s="54"/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</row>
    <row r="1038">
      <c r="A1038" s="54"/>
      <c r="B1038" s="54"/>
      <c r="C1038" s="54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</row>
  </sheetData>
  <mergeCells count="23">
    <mergeCell ref="B38:I38"/>
    <mergeCell ref="B39:I39"/>
    <mergeCell ref="B41:I41"/>
    <mergeCell ref="B43:B50"/>
    <mergeCell ref="C43:C46"/>
    <mergeCell ref="C47:C50"/>
    <mergeCell ref="D22:K26"/>
    <mergeCell ref="C31:I31"/>
    <mergeCell ref="B32:B37"/>
    <mergeCell ref="C32:C33"/>
    <mergeCell ref="C34:I34"/>
    <mergeCell ref="C35:C36"/>
    <mergeCell ref="C37:I37"/>
    <mergeCell ref="K19:K20"/>
    <mergeCell ref="C22:C25"/>
    <mergeCell ref="B3:I3"/>
    <mergeCell ref="B6:B7"/>
    <mergeCell ref="C6:C7"/>
    <mergeCell ref="B8:I8"/>
    <mergeCell ref="B10:I10"/>
    <mergeCell ref="C21:I21"/>
    <mergeCell ref="C13:C20"/>
    <mergeCell ref="B13:B31"/>
  </mergeCells>
  <hyperlinks>
    <hyperlink r:id="rId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18.63"/>
    <col customWidth="1" min="4" max="5" width="14.5"/>
    <col customWidth="1" min="8" max="8" width="40.63"/>
  </cols>
  <sheetData>
    <row r="2">
      <c r="A2" s="96" t="s">
        <v>109</v>
      </c>
      <c r="B2" s="97" t="s">
        <v>110</v>
      </c>
    </row>
    <row r="3">
      <c r="B3" s="98" t="s">
        <v>111</v>
      </c>
      <c r="D3" s="99"/>
      <c r="E3" s="99"/>
      <c r="F3" s="99"/>
      <c r="G3" s="99"/>
      <c r="H3" s="99"/>
    </row>
    <row r="4">
      <c r="B4" s="100"/>
      <c r="C4" s="99"/>
      <c r="D4" s="99"/>
      <c r="E4" s="99"/>
      <c r="F4" s="99"/>
      <c r="G4" s="99"/>
      <c r="H4" s="99"/>
    </row>
    <row r="5">
      <c r="B5" s="101" t="s">
        <v>112</v>
      </c>
      <c r="C5" s="101" t="s">
        <v>113</v>
      </c>
      <c r="D5" s="101" t="s">
        <v>114</v>
      </c>
      <c r="E5" s="101" t="s">
        <v>82</v>
      </c>
      <c r="F5" s="101" t="s">
        <v>115</v>
      </c>
      <c r="G5" s="101" t="s">
        <v>116</v>
      </c>
      <c r="H5" s="101" t="s">
        <v>9</v>
      </c>
    </row>
    <row r="6">
      <c r="B6" s="102" t="s">
        <v>24</v>
      </c>
      <c r="C6" s="102" t="s">
        <v>85</v>
      </c>
      <c r="D6" s="103">
        <v>1.0</v>
      </c>
      <c r="E6" s="103">
        <v>4.0</v>
      </c>
      <c r="F6" s="103">
        <f t="shared" ref="F6:F13" si="1">D6*E6</f>
        <v>4</v>
      </c>
      <c r="G6" s="104">
        <f t="shared" ref="G6:G13" si="2">50000*F6</f>
        <v>200000</v>
      </c>
      <c r="H6" s="102" t="s">
        <v>117</v>
      </c>
    </row>
    <row r="7">
      <c r="B7" s="102" t="s">
        <v>24</v>
      </c>
      <c r="C7" s="102" t="s">
        <v>88</v>
      </c>
      <c r="D7" s="103">
        <v>1.0</v>
      </c>
      <c r="E7" s="103">
        <v>3.0</v>
      </c>
      <c r="F7" s="103">
        <f t="shared" si="1"/>
        <v>3</v>
      </c>
      <c r="G7" s="104">
        <f t="shared" si="2"/>
        <v>150000</v>
      </c>
      <c r="H7" s="105"/>
    </row>
    <row r="8">
      <c r="B8" s="102" t="s">
        <v>43</v>
      </c>
      <c r="C8" s="102" t="s">
        <v>43</v>
      </c>
      <c r="D8" s="103">
        <v>2.0</v>
      </c>
      <c r="E8" s="103">
        <v>6.0</v>
      </c>
      <c r="F8" s="103">
        <f t="shared" si="1"/>
        <v>12</v>
      </c>
      <c r="G8" s="104">
        <f t="shared" si="2"/>
        <v>600000</v>
      </c>
      <c r="H8" s="102" t="s">
        <v>118</v>
      </c>
    </row>
    <row r="9">
      <c r="B9" s="102" t="s">
        <v>119</v>
      </c>
      <c r="C9" s="102" t="s">
        <v>90</v>
      </c>
      <c r="D9" s="103">
        <v>1.0</v>
      </c>
      <c r="E9" s="103">
        <v>3.0</v>
      </c>
      <c r="F9" s="103">
        <f t="shared" si="1"/>
        <v>3</v>
      </c>
      <c r="G9" s="104">
        <f t="shared" si="2"/>
        <v>150000</v>
      </c>
      <c r="H9" s="102" t="s">
        <v>120</v>
      </c>
    </row>
    <row r="10">
      <c r="B10" s="102" t="s">
        <v>119</v>
      </c>
      <c r="C10" s="102" t="s">
        <v>92</v>
      </c>
      <c r="D10" s="103">
        <v>1.0</v>
      </c>
      <c r="E10" s="103">
        <v>4.0</v>
      </c>
      <c r="F10" s="103">
        <f t="shared" si="1"/>
        <v>4</v>
      </c>
      <c r="G10" s="104">
        <f t="shared" si="2"/>
        <v>200000</v>
      </c>
      <c r="H10" s="105"/>
    </row>
    <row r="11">
      <c r="B11" s="102" t="s">
        <v>34</v>
      </c>
      <c r="C11" s="102" t="s">
        <v>121</v>
      </c>
      <c r="D11" s="103">
        <v>3.0</v>
      </c>
      <c r="E11" s="103">
        <v>2.0</v>
      </c>
      <c r="F11" s="103">
        <f t="shared" si="1"/>
        <v>6</v>
      </c>
      <c r="G11" s="104">
        <f t="shared" si="2"/>
        <v>300000</v>
      </c>
      <c r="H11" s="102" t="s">
        <v>122</v>
      </c>
    </row>
    <row r="12">
      <c r="B12" s="102" t="s">
        <v>34</v>
      </c>
      <c r="C12" s="102" t="s">
        <v>96</v>
      </c>
      <c r="D12" s="103">
        <v>1.0</v>
      </c>
      <c r="E12" s="103">
        <v>8.0</v>
      </c>
      <c r="F12" s="103">
        <f t="shared" si="1"/>
        <v>8</v>
      </c>
      <c r="G12" s="104">
        <f t="shared" si="2"/>
        <v>400000</v>
      </c>
      <c r="H12" s="102" t="s">
        <v>123</v>
      </c>
    </row>
    <row r="13">
      <c r="B13" s="102" t="s">
        <v>34</v>
      </c>
      <c r="C13" s="102" t="s">
        <v>98</v>
      </c>
      <c r="D13" s="103">
        <v>1.0</v>
      </c>
      <c r="E13" s="103">
        <v>8.0</v>
      </c>
      <c r="F13" s="103">
        <f t="shared" si="1"/>
        <v>8</v>
      </c>
      <c r="G13" s="104">
        <f t="shared" si="2"/>
        <v>400000</v>
      </c>
      <c r="H13" s="102" t="s">
        <v>123</v>
      </c>
    </row>
    <row r="14">
      <c r="B14" s="99"/>
      <c r="C14" s="106" t="s">
        <v>124</v>
      </c>
      <c r="D14" s="99"/>
      <c r="E14" s="99"/>
      <c r="F14" s="107">
        <f t="shared" ref="F14:G14" si="3">SUM(F6:F13)</f>
        <v>48</v>
      </c>
      <c r="G14" s="108">
        <f t="shared" si="3"/>
        <v>2400000</v>
      </c>
      <c r="H14" s="109" t="s">
        <v>125</v>
      </c>
    </row>
    <row r="15">
      <c r="B15" s="99"/>
      <c r="C15" s="99"/>
      <c r="D15" s="99"/>
      <c r="E15" s="99"/>
      <c r="F15" s="99"/>
      <c r="G15" s="99"/>
      <c r="H15" s="99"/>
    </row>
    <row r="16">
      <c r="B16" s="110" t="s">
        <v>126</v>
      </c>
      <c r="E16" s="110"/>
      <c r="F16" s="99"/>
      <c r="G16" s="99"/>
      <c r="H16" s="99"/>
    </row>
    <row r="17">
      <c r="B17" s="111" t="s">
        <v>127</v>
      </c>
    </row>
    <row r="18">
      <c r="B18" s="112" t="s">
        <v>128</v>
      </c>
      <c r="C18" s="99"/>
      <c r="D18" s="99"/>
      <c r="E18" s="99"/>
      <c r="F18" s="99"/>
      <c r="G18" s="99"/>
      <c r="H18" s="99"/>
    </row>
    <row r="19">
      <c r="B19" s="99"/>
      <c r="C19" s="99"/>
      <c r="D19" s="99"/>
      <c r="E19" s="99"/>
      <c r="F19" s="99"/>
      <c r="G19" s="99"/>
      <c r="H19" s="99"/>
    </row>
    <row r="20">
      <c r="B20" s="110" t="s">
        <v>129</v>
      </c>
      <c r="G20" s="99"/>
      <c r="H20" s="99"/>
    </row>
    <row r="21">
      <c r="B21" s="110" t="s">
        <v>130</v>
      </c>
      <c r="G21" s="99"/>
      <c r="H21" s="99"/>
    </row>
    <row r="23">
      <c r="B23" s="97" t="s">
        <v>131</v>
      </c>
    </row>
    <row r="24">
      <c r="B24" s="99"/>
      <c r="C24" s="99"/>
      <c r="D24" s="99"/>
      <c r="E24" s="99"/>
      <c r="F24" s="99"/>
      <c r="G24" s="99"/>
      <c r="H24" s="99"/>
    </row>
    <row r="25">
      <c r="B25" s="101" t="s">
        <v>112</v>
      </c>
      <c r="C25" s="101" t="s">
        <v>113</v>
      </c>
      <c r="D25" s="101" t="s">
        <v>114</v>
      </c>
      <c r="E25" s="101" t="s">
        <v>82</v>
      </c>
      <c r="F25" s="101" t="s">
        <v>115</v>
      </c>
      <c r="G25" s="101" t="s">
        <v>116</v>
      </c>
      <c r="H25" s="101" t="s">
        <v>9</v>
      </c>
    </row>
    <row r="26">
      <c r="B26" s="102" t="s">
        <v>24</v>
      </c>
      <c r="C26" s="102" t="s">
        <v>24</v>
      </c>
      <c r="D26" s="103">
        <v>1.0</v>
      </c>
      <c r="E26" s="103">
        <v>4.0</v>
      </c>
      <c r="F26" s="103">
        <f t="shared" ref="F26:F30" si="4">D26*E26</f>
        <v>4</v>
      </c>
      <c r="G26" s="104">
        <f t="shared" ref="G26:G30" si="5">50000*F26</f>
        <v>200000</v>
      </c>
      <c r="H26" s="102" t="s">
        <v>103</v>
      </c>
    </row>
    <row r="27">
      <c r="B27" s="102" t="s">
        <v>43</v>
      </c>
      <c r="C27" s="102" t="s">
        <v>43</v>
      </c>
      <c r="D27" s="103">
        <v>2.0</v>
      </c>
      <c r="E27" s="103">
        <v>6.0</v>
      </c>
      <c r="F27" s="103">
        <f t="shared" si="4"/>
        <v>12</v>
      </c>
      <c r="G27" s="104">
        <f t="shared" si="5"/>
        <v>600000</v>
      </c>
      <c r="H27" s="102" t="s">
        <v>104</v>
      </c>
    </row>
    <row r="28">
      <c r="B28" s="102" t="s">
        <v>43</v>
      </c>
      <c r="C28" s="102" t="s">
        <v>105</v>
      </c>
      <c r="D28" s="103">
        <v>1.0</v>
      </c>
      <c r="E28" s="103">
        <v>3.0</v>
      </c>
      <c r="F28" s="103">
        <f t="shared" si="4"/>
        <v>3</v>
      </c>
      <c r="G28" s="104">
        <f t="shared" si="5"/>
        <v>150000</v>
      </c>
      <c r="H28" s="105"/>
    </row>
    <row r="29">
      <c r="B29" s="102" t="s">
        <v>34</v>
      </c>
      <c r="C29" s="102" t="s">
        <v>132</v>
      </c>
      <c r="D29" s="103">
        <v>1.0</v>
      </c>
      <c r="E29" s="103">
        <v>6.0</v>
      </c>
      <c r="F29" s="103">
        <f t="shared" si="4"/>
        <v>6</v>
      </c>
      <c r="G29" s="104">
        <f t="shared" si="5"/>
        <v>300000</v>
      </c>
      <c r="H29" s="102" t="s">
        <v>106</v>
      </c>
    </row>
    <row r="30">
      <c r="B30" s="102" t="s">
        <v>34</v>
      </c>
      <c r="C30" s="102" t="s">
        <v>133</v>
      </c>
      <c r="D30" s="103">
        <v>1.0</v>
      </c>
      <c r="E30" s="103">
        <v>6.0</v>
      </c>
      <c r="F30" s="103">
        <f t="shared" si="4"/>
        <v>6</v>
      </c>
      <c r="G30" s="104">
        <f t="shared" si="5"/>
        <v>300000</v>
      </c>
      <c r="H30" s="102" t="s">
        <v>106</v>
      </c>
    </row>
    <row r="31">
      <c r="B31" s="99"/>
      <c r="C31" s="106" t="s">
        <v>124</v>
      </c>
      <c r="D31" s="99"/>
      <c r="E31" s="99"/>
      <c r="F31" s="107">
        <f>SUM(F26:F30)</f>
        <v>31</v>
      </c>
      <c r="G31" s="108">
        <v>1550000.0</v>
      </c>
      <c r="H31" s="109" t="s">
        <v>125</v>
      </c>
    </row>
    <row r="32">
      <c r="B32" s="99"/>
      <c r="C32" s="99"/>
      <c r="D32" s="99"/>
      <c r="E32" s="99"/>
      <c r="F32" s="99"/>
      <c r="G32" s="99"/>
      <c r="H32" s="99"/>
    </row>
    <row r="33">
      <c r="B33" s="110" t="s">
        <v>134</v>
      </c>
      <c r="H33" s="99"/>
    </row>
    <row r="34">
      <c r="B34" s="110" t="s">
        <v>135</v>
      </c>
      <c r="E34" s="110"/>
      <c r="F34" s="99"/>
      <c r="G34" s="99"/>
      <c r="H34" s="99"/>
    </row>
    <row r="35">
      <c r="B35" s="99"/>
      <c r="C35" s="99"/>
      <c r="D35" s="99"/>
      <c r="E35" s="99"/>
      <c r="F35" s="99"/>
      <c r="G35" s="99"/>
      <c r="H35" s="99"/>
    </row>
    <row r="36">
      <c r="B36" s="110" t="s">
        <v>136</v>
      </c>
      <c r="E36" s="110"/>
      <c r="F36" s="99"/>
      <c r="G36" s="99"/>
      <c r="H36" s="99"/>
    </row>
  </sheetData>
  <mergeCells count="10">
    <mergeCell ref="B34:D34"/>
    <mergeCell ref="B36:D36"/>
    <mergeCell ref="B33:G33"/>
    <mergeCell ref="B3:C3"/>
    <mergeCell ref="B16:D16"/>
    <mergeCell ref="B2:H2"/>
    <mergeCell ref="B21:F21"/>
    <mergeCell ref="B17:J17"/>
    <mergeCell ref="B23:H23"/>
    <mergeCell ref="B20:F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</cols>
  <sheetData>
    <row r="2">
      <c r="B2" s="113" t="s">
        <v>137</v>
      </c>
      <c r="D2" s="99"/>
      <c r="E2" s="99"/>
      <c r="F2" s="99"/>
      <c r="G2" s="99"/>
      <c r="H2" s="99"/>
    </row>
    <row r="3">
      <c r="B3" s="112" t="s">
        <v>138</v>
      </c>
      <c r="C3" s="99"/>
      <c r="D3" s="99"/>
      <c r="E3" s="99"/>
      <c r="F3" s="99"/>
      <c r="G3" s="99"/>
      <c r="H3" s="99"/>
    </row>
    <row r="4">
      <c r="B4" s="114" t="s">
        <v>139</v>
      </c>
      <c r="C4" s="99"/>
      <c r="D4" s="99"/>
      <c r="E4" s="99"/>
      <c r="F4" s="99"/>
      <c r="G4" s="99"/>
      <c r="H4" s="99"/>
    </row>
    <row r="5">
      <c r="B5" s="114"/>
      <c r="C5" s="99"/>
      <c r="D5" s="99"/>
      <c r="E5" s="99"/>
      <c r="F5" s="99"/>
      <c r="G5" s="99"/>
      <c r="H5" s="99"/>
    </row>
    <row r="6">
      <c r="B6" s="113" t="s">
        <v>140</v>
      </c>
      <c r="E6" s="99"/>
      <c r="F6" s="99"/>
      <c r="G6" s="113" t="s">
        <v>141</v>
      </c>
    </row>
    <row r="7">
      <c r="B7" s="101" t="s">
        <v>142</v>
      </c>
      <c r="C7" s="101" t="s">
        <v>143</v>
      </c>
      <c r="D7" s="101" t="s">
        <v>144</v>
      </c>
      <c r="E7" s="101" t="s">
        <v>145</v>
      </c>
      <c r="F7" s="99"/>
      <c r="G7" s="101" t="s">
        <v>142</v>
      </c>
      <c r="H7" s="101" t="s">
        <v>143</v>
      </c>
      <c r="I7" s="101" t="s">
        <v>144</v>
      </c>
      <c r="J7" s="101" t="s">
        <v>145</v>
      </c>
      <c r="K7" s="99"/>
    </row>
    <row r="8">
      <c r="B8" s="102" t="s">
        <v>146</v>
      </c>
      <c r="C8" s="104">
        <v>5000000.0</v>
      </c>
      <c r="D8" s="104">
        <v>5300000.0</v>
      </c>
      <c r="E8" s="104">
        <v>5600000.0</v>
      </c>
      <c r="F8" s="99"/>
      <c r="G8" s="102" t="s">
        <v>146</v>
      </c>
      <c r="H8" s="104">
        <v>5000000.0</v>
      </c>
      <c r="I8" s="104">
        <v>5300000.0</v>
      </c>
      <c r="J8" s="104">
        <v>5600000.0</v>
      </c>
      <c r="K8" s="99"/>
    </row>
    <row r="9">
      <c r="B9" s="102" t="s">
        <v>147</v>
      </c>
      <c r="C9" s="104">
        <v>6600000.0</v>
      </c>
      <c r="D9" s="104">
        <v>6900000.0</v>
      </c>
      <c r="E9" s="104">
        <v>7200000.0</v>
      </c>
      <c r="F9" s="99"/>
      <c r="G9" s="102" t="s">
        <v>147</v>
      </c>
      <c r="H9" s="104">
        <v>6600000.0</v>
      </c>
      <c r="I9" s="104">
        <v>6900000.0</v>
      </c>
      <c r="J9" s="104">
        <v>7200000.0</v>
      </c>
      <c r="K9" s="99"/>
    </row>
    <row r="10">
      <c r="B10" s="102" t="s">
        <v>148</v>
      </c>
      <c r="C10" s="104">
        <v>7700000.0</v>
      </c>
      <c r="D10" s="115">
        <v>8000000.0</v>
      </c>
      <c r="E10" s="104">
        <v>8300000.0</v>
      </c>
      <c r="F10" s="99"/>
      <c r="G10" s="102" t="s">
        <v>148</v>
      </c>
      <c r="H10" s="104">
        <v>7500000.0</v>
      </c>
      <c r="I10" s="115">
        <v>7500000.0</v>
      </c>
      <c r="J10" s="104">
        <v>7750000.0</v>
      </c>
      <c r="K10" s="99"/>
    </row>
    <row r="11">
      <c r="B11" s="102" t="s">
        <v>149</v>
      </c>
      <c r="C11" s="104">
        <v>8750000.0</v>
      </c>
      <c r="D11" s="104">
        <v>9050000.0</v>
      </c>
      <c r="E11" s="104">
        <v>9350000.0</v>
      </c>
      <c r="F11" s="99"/>
      <c r="G11" s="102" t="s">
        <v>149</v>
      </c>
      <c r="H11" s="104">
        <v>8100000.0</v>
      </c>
      <c r="I11" s="104">
        <v>8350000.0</v>
      </c>
      <c r="J11" s="104">
        <v>8600000.0</v>
      </c>
      <c r="K11" s="99"/>
    </row>
    <row r="12">
      <c r="B12" s="102" t="s">
        <v>150</v>
      </c>
      <c r="C12" s="104">
        <v>9850000.0</v>
      </c>
      <c r="D12" s="104">
        <v>1.015E7</v>
      </c>
      <c r="E12" s="104">
        <v>1.045E7</v>
      </c>
      <c r="F12" s="99"/>
      <c r="G12" s="102" t="s">
        <v>150</v>
      </c>
      <c r="H12" s="104">
        <v>9050000.0</v>
      </c>
      <c r="I12" s="104">
        <v>9300000.0</v>
      </c>
      <c r="J12" s="104">
        <v>9550000.0</v>
      </c>
      <c r="K12" s="99"/>
    </row>
    <row r="13">
      <c r="B13" s="102" t="s">
        <v>151</v>
      </c>
      <c r="C13" s="104">
        <v>1.04E7</v>
      </c>
      <c r="D13" s="104">
        <v>1.07E7</v>
      </c>
      <c r="E13" s="104">
        <v>1.1E7</v>
      </c>
      <c r="F13" s="99"/>
      <c r="G13" s="102" t="s">
        <v>151</v>
      </c>
      <c r="H13" s="104">
        <v>9500000.0</v>
      </c>
      <c r="I13" s="104">
        <v>9750000.0</v>
      </c>
      <c r="J13" s="104">
        <v>1.005E7</v>
      </c>
      <c r="K13" s="99"/>
    </row>
    <row r="14">
      <c r="B14" s="102" t="s">
        <v>152</v>
      </c>
      <c r="C14" s="104">
        <v>1.09E7</v>
      </c>
      <c r="D14" s="104">
        <v>1.12E7</v>
      </c>
      <c r="E14" s="104">
        <v>1.15E7</v>
      </c>
      <c r="F14" s="99"/>
      <c r="G14" s="102" t="s">
        <v>152</v>
      </c>
      <c r="H14" s="104">
        <v>9950000.0</v>
      </c>
      <c r="I14" s="104">
        <v>1.02E7</v>
      </c>
      <c r="J14" s="104">
        <v>1.045E7</v>
      </c>
      <c r="K14" s="99"/>
    </row>
    <row r="15">
      <c r="B15" s="102" t="s">
        <v>153</v>
      </c>
      <c r="C15" s="104">
        <v>1.2E7</v>
      </c>
      <c r="D15" s="104">
        <v>1.23E7</v>
      </c>
      <c r="E15" s="104">
        <v>1.26E7</v>
      </c>
      <c r="F15" s="99"/>
      <c r="G15" s="102" t="s">
        <v>153</v>
      </c>
      <c r="H15" s="104">
        <v>1.09E7</v>
      </c>
      <c r="I15" s="104">
        <v>1.115E7</v>
      </c>
      <c r="J15" s="104">
        <v>1.14E7</v>
      </c>
      <c r="K15" s="99"/>
    </row>
    <row r="16">
      <c r="B16" s="99"/>
      <c r="C16" s="99"/>
      <c r="D16" s="99"/>
      <c r="E16" s="99"/>
      <c r="F16" s="99"/>
      <c r="G16" s="99"/>
      <c r="H16" s="99"/>
    </row>
    <row r="17">
      <c r="B17" s="99"/>
      <c r="C17" s="99"/>
      <c r="D17" s="99"/>
      <c r="E17" s="99"/>
      <c r="F17" s="99"/>
      <c r="G17" s="99"/>
      <c r="H17" s="99"/>
    </row>
    <row r="18">
      <c r="B18" s="113" t="s">
        <v>154</v>
      </c>
      <c r="C18" s="99"/>
      <c r="D18" s="99"/>
      <c r="E18" s="99"/>
      <c r="F18" s="99"/>
      <c r="G18" s="99"/>
      <c r="H18" s="99"/>
    </row>
    <row r="19">
      <c r="B19" s="101" t="s">
        <v>155</v>
      </c>
      <c r="C19" s="101" t="s">
        <v>156</v>
      </c>
      <c r="D19" s="101" t="s">
        <v>157</v>
      </c>
      <c r="E19" s="101" t="s">
        <v>158</v>
      </c>
      <c r="F19" s="101" t="s">
        <v>159</v>
      </c>
      <c r="G19" s="101" t="s">
        <v>160</v>
      </c>
      <c r="H19" s="101" t="s">
        <v>161</v>
      </c>
    </row>
    <row r="20">
      <c r="B20" s="116" t="s">
        <v>162</v>
      </c>
      <c r="C20" s="116" t="s">
        <v>163</v>
      </c>
      <c r="D20" s="116" t="s">
        <v>164</v>
      </c>
      <c r="E20" s="115">
        <v>8000000.0</v>
      </c>
      <c r="F20" s="115">
        <v>500000.0</v>
      </c>
      <c r="G20" s="115">
        <v>7500000.0</v>
      </c>
      <c r="H20" s="117">
        <v>0.063</v>
      </c>
    </row>
    <row r="21">
      <c r="B21" s="102" t="s">
        <v>165</v>
      </c>
      <c r="C21" s="102" t="s">
        <v>163</v>
      </c>
      <c r="D21" s="102" t="s">
        <v>145</v>
      </c>
      <c r="E21" s="104">
        <v>8300000.0</v>
      </c>
      <c r="F21" s="104">
        <v>550000.0</v>
      </c>
      <c r="G21" s="104">
        <v>7750000.0</v>
      </c>
      <c r="H21" s="118">
        <v>0.066</v>
      </c>
    </row>
    <row r="22">
      <c r="B22" s="102" t="s">
        <v>166</v>
      </c>
      <c r="C22" s="102" t="s">
        <v>149</v>
      </c>
      <c r="D22" s="102" t="s">
        <v>164</v>
      </c>
      <c r="E22" s="104">
        <v>9050000.0</v>
      </c>
      <c r="F22" s="104">
        <v>700000.0</v>
      </c>
      <c r="G22" s="104">
        <v>8350000.0</v>
      </c>
      <c r="H22" s="118">
        <v>0.077</v>
      </c>
    </row>
    <row r="23">
      <c r="B23" s="102" t="s">
        <v>167</v>
      </c>
      <c r="C23" s="102" t="s">
        <v>149</v>
      </c>
      <c r="D23" s="102" t="s">
        <v>145</v>
      </c>
      <c r="E23" s="104">
        <v>9350000.0</v>
      </c>
      <c r="F23" s="104">
        <v>750000.0</v>
      </c>
      <c r="G23" s="104">
        <v>8600000.0</v>
      </c>
      <c r="H23" s="118">
        <v>0.08</v>
      </c>
    </row>
    <row r="24">
      <c r="B24" s="102" t="s">
        <v>168</v>
      </c>
      <c r="C24" s="102" t="s">
        <v>150</v>
      </c>
      <c r="D24" s="102" t="s">
        <v>164</v>
      </c>
      <c r="E24" s="104">
        <v>1.015E7</v>
      </c>
      <c r="F24" s="104">
        <v>850000.0</v>
      </c>
      <c r="G24" s="104">
        <v>9300000.0</v>
      </c>
      <c r="H24" s="118">
        <v>0.084</v>
      </c>
    </row>
    <row r="25">
      <c r="B25" s="102" t="s">
        <v>169</v>
      </c>
      <c r="C25" s="102" t="s">
        <v>150</v>
      </c>
      <c r="D25" s="102" t="s">
        <v>145</v>
      </c>
      <c r="E25" s="104">
        <v>1.045E7</v>
      </c>
      <c r="F25" s="104">
        <v>900000.0</v>
      </c>
      <c r="G25" s="104">
        <v>9550000.0</v>
      </c>
      <c r="H25" s="118">
        <v>0.086</v>
      </c>
    </row>
    <row r="26">
      <c r="B26" s="102" t="s">
        <v>170</v>
      </c>
      <c r="C26" s="102" t="s">
        <v>151</v>
      </c>
      <c r="D26" s="102" t="s">
        <v>164</v>
      </c>
      <c r="E26" s="104">
        <v>1.07E7</v>
      </c>
      <c r="F26" s="104">
        <v>950000.0</v>
      </c>
      <c r="G26" s="104">
        <v>9750000.0</v>
      </c>
      <c r="H26" s="118">
        <v>0.089</v>
      </c>
    </row>
    <row r="27">
      <c r="B27" s="102" t="s">
        <v>171</v>
      </c>
      <c r="C27" s="102" t="s">
        <v>152</v>
      </c>
      <c r="D27" s="102" t="s">
        <v>164</v>
      </c>
      <c r="E27" s="104">
        <v>1.12E7</v>
      </c>
      <c r="F27" s="104">
        <v>1000000.0</v>
      </c>
      <c r="G27" s="104">
        <v>1.02E7</v>
      </c>
      <c r="H27" s="118">
        <v>0.089</v>
      </c>
    </row>
    <row r="28">
      <c r="B28" s="102" t="s">
        <v>172</v>
      </c>
      <c r="C28" s="102" t="s">
        <v>152</v>
      </c>
      <c r="D28" s="102" t="s">
        <v>145</v>
      </c>
      <c r="E28" s="104">
        <v>1.15E7</v>
      </c>
      <c r="F28" s="104">
        <v>1050000.0</v>
      </c>
      <c r="G28" s="104">
        <v>1.045E7</v>
      </c>
      <c r="H28" s="118">
        <v>0.091</v>
      </c>
    </row>
    <row r="29">
      <c r="B29" s="102" t="s">
        <v>173</v>
      </c>
      <c r="C29" s="102" t="s">
        <v>153</v>
      </c>
      <c r="D29" s="102" t="s">
        <v>164</v>
      </c>
      <c r="E29" s="104">
        <v>1.23E7</v>
      </c>
      <c r="F29" s="104">
        <v>1150000.0</v>
      </c>
      <c r="G29" s="104">
        <v>1.115E7</v>
      </c>
      <c r="H29" s="118">
        <v>0.093</v>
      </c>
    </row>
  </sheetData>
  <mergeCells count="3">
    <mergeCell ref="B2:C2"/>
    <mergeCell ref="B6:D6"/>
    <mergeCell ref="G6:K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7.5"/>
    <col customWidth="1" min="3" max="3" width="33.63"/>
    <col customWidth="1" min="5" max="5" width="8.38"/>
    <col customWidth="1" min="6" max="6" width="3.75"/>
    <col customWidth="1" min="7" max="7" width="15.75"/>
    <col customWidth="1" min="8" max="8" width="78.38"/>
  </cols>
  <sheetData>
    <row r="4" ht="22.5" customHeight="1">
      <c r="B4" s="119" t="s">
        <v>1</v>
      </c>
      <c r="C4" s="119" t="s">
        <v>113</v>
      </c>
      <c r="D4" s="119" t="s">
        <v>7</v>
      </c>
      <c r="E4" s="119" t="s">
        <v>4</v>
      </c>
      <c r="F4" s="120" t="s">
        <v>71</v>
      </c>
      <c r="G4" s="119" t="s">
        <v>174</v>
      </c>
      <c r="H4" s="119" t="s">
        <v>9</v>
      </c>
    </row>
    <row r="5" ht="22.5" customHeight="1">
      <c r="B5" s="121" t="s">
        <v>175</v>
      </c>
      <c r="C5" s="122" t="s">
        <v>176</v>
      </c>
      <c r="D5" s="123" t="s">
        <v>71</v>
      </c>
      <c r="E5" s="123" t="s">
        <v>71</v>
      </c>
      <c r="F5" s="124"/>
      <c r="G5" s="124">
        <v>2000000.0</v>
      </c>
      <c r="H5" s="123" t="s">
        <v>177</v>
      </c>
    </row>
    <row r="6" ht="22.5" customHeight="1">
      <c r="B6" s="125"/>
      <c r="C6" s="126" t="s">
        <v>178</v>
      </c>
      <c r="D6" s="127"/>
      <c r="E6" s="127"/>
      <c r="F6" s="128"/>
      <c r="G6" s="128">
        <v>2000000.0</v>
      </c>
      <c r="H6" s="126" t="s">
        <v>179</v>
      </c>
    </row>
    <row r="7" ht="22.5" customHeight="1">
      <c r="B7" s="125"/>
      <c r="C7" s="129" t="s">
        <v>180</v>
      </c>
      <c r="D7" s="124"/>
      <c r="E7" s="123">
        <v>0.0</v>
      </c>
      <c r="F7" s="124" t="s">
        <v>181</v>
      </c>
      <c r="G7" s="124">
        <f t="shared" ref="G7:G8" si="1">D7*E7</f>
        <v>0</v>
      </c>
    </row>
    <row r="8" ht="22.5" customHeight="1">
      <c r="B8" s="125"/>
      <c r="C8" s="129" t="s">
        <v>182</v>
      </c>
      <c r="D8" s="124">
        <v>800000.0</v>
      </c>
      <c r="E8" s="123">
        <v>1.0</v>
      </c>
      <c r="F8" s="124" t="s">
        <v>181</v>
      </c>
      <c r="G8" s="124">
        <f t="shared" si="1"/>
        <v>800000</v>
      </c>
      <c r="H8" s="130" t="s">
        <v>183</v>
      </c>
    </row>
    <row r="9" ht="22.5" customHeight="1">
      <c r="B9" s="125"/>
      <c r="C9" s="131" t="s">
        <v>184</v>
      </c>
      <c r="D9" s="132"/>
      <c r="E9" s="132"/>
      <c r="F9" s="133"/>
      <c r="G9" s="133"/>
      <c r="H9" s="134"/>
    </row>
    <row r="10" ht="22.5" customHeight="1">
      <c r="B10" s="135"/>
      <c r="C10" s="126" t="s">
        <v>178</v>
      </c>
      <c r="D10" s="127"/>
      <c r="E10" s="127"/>
      <c r="F10" s="128"/>
      <c r="G10" s="128">
        <f>G7+G8+G9</f>
        <v>800000</v>
      </c>
      <c r="H10" s="126" t="s">
        <v>179</v>
      </c>
    </row>
    <row r="11" ht="22.5" customHeight="1">
      <c r="B11" s="121" t="s">
        <v>185</v>
      </c>
      <c r="C11" s="122" t="s">
        <v>186</v>
      </c>
      <c r="D11" s="136"/>
      <c r="E11" s="136"/>
      <c r="F11" s="137"/>
      <c r="G11" s="137">
        <f>G6+G10</f>
        <v>2800000</v>
      </c>
      <c r="H11" s="123" t="s">
        <v>179</v>
      </c>
    </row>
    <row r="13">
      <c r="B13" s="138"/>
    </row>
    <row r="15" ht="20.25" customHeight="1">
      <c r="B15" s="138"/>
    </row>
    <row r="16" ht="20.25" customHeight="1"/>
    <row r="17" ht="20.25" customHeight="1">
      <c r="B17" s="138"/>
    </row>
    <row r="19" ht="20.25" customHeight="1"/>
    <row r="20" ht="20.25" customHeight="1">
      <c r="B20" s="138"/>
    </row>
    <row r="21">
      <c r="B21" s="138"/>
    </row>
    <row r="23">
      <c r="B23" s="138"/>
    </row>
    <row r="28">
      <c r="B28" s="138"/>
    </row>
  </sheetData>
  <dataValidations>
    <dataValidation type="custom" allowBlank="1" showDropDown="1" sqref="G5:G11">
      <formula1>AND(ISNUMBER(G5),(NOT(OR(NOT(ISERROR(DATEVALUE(G5))), AND(ISNUMBER(G5), LEFT(CELL("format", G5))="D")))))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19.5"/>
    <col customWidth="1" min="4" max="4" width="8.88"/>
    <col customWidth="1" min="5" max="5" width="19.25"/>
    <col customWidth="1" min="6" max="6" width="10.75"/>
    <col customWidth="1" min="7" max="7" width="29.75"/>
    <col customWidth="1" min="8" max="8" width="8.38"/>
    <col customWidth="1" min="9" max="9" width="33.38"/>
    <col customWidth="1" min="10" max="10" width="15.13"/>
    <col customWidth="1" min="11" max="11" width="7.63"/>
    <col customWidth="1" min="12" max="12" width="16.38"/>
  </cols>
  <sheetData>
    <row r="1">
      <c r="F1" s="139"/>
    </row>
    <row r="2" ht="24.75" customHeight="1">
      <c r="B2" s="140" t="s">
        <v>187</v>
      </c>
      <c r="F2" s="139"/>
    </row>
    <row r="3">
      <c r="B3" s="141" t="s">
        <v>188</v>
      </c>
      <c r="C3" s="142" t="s">
        <v>189</v>
      </c>
      <c r="D3" s="143"/>
      <c r="E3" s="143"/>
      <c r="F3" s="142" t="s">
        <v>190</v>
      </c>
      <c r="G3" s="143"/>
      <c r="H3" s="143"/>
      <c r="I3" s="143"/>
      <c r="J3" s="142" t="s">
        <v>191</v>
      </c>
      <c r="K3" s="143"/>
      <c r="L3" s="144"/>
    </row>
    <row r="4">
      <c r="B4" s="145"/>
      <c r="C4" s="146" t="s">
        <v>192</v>
      </c>
      <c r="F4" s="146" t="s">
        <v>193</v>
      </c>
      <c r="J4" s="146" t="s">
        <v>194</v>
      </c>
      <c r="L4" s="147"/>
    </row>
    <row r="5">
      <c r="B5" s="148"/>
      <c r="C5" s="149" t="s">
        <v>195</v>
      </c>
      <c r="D5" s="150" t="s">
        <v>196</v>
      </c>
      <c r="E5" s="150" t="s">
        <v>9</v>
      </c>
      <c r="F5" s="150" t="s">
        <v>197</v>
      </c>
      <c r="G5" s="150" t="s">
        <v>198</v>
      </c>
      <c r="H5" s="150" t="s">
        <v>196</v>
      </c>
      <c r="I5" s="150" t="s">
        <v>9</v>
      </c>
      <c r="J5" s="150" t="s">
        <v>195</v>
      </c>
      <c r="K5" s="150" t="s">
        <v>196</v>
      </c>
      <c r="L5" s="151" t="s">
        <v>9</v>
      </c>
    </row>
    <row r="6">
      <c r="B6" s="152" t="s">
        <v>199</v>
      </c>
      <c r="C6" s="146" t="s">
        <v>200</v>
      </c>
      <c r="D6" s="153">
        <v>120000.0</v>
      </c>
      <c r="E6" s="146" t="s">
        <v>201</v>
      </c>
      <c r="F6" s="146" t="s">
        <v>202</v>
      </c>
      <c r="G6" s="146" t="s">
        <v>203</v>
      </c>
      <c r="H6" s="153">
        <v>480000.0</v>
      </c>
      <c r="I6" s="146" t="s">
        <v>204</v>
      </c>
      <c r="J6" s="146" t="s">
        <v>205</v>
      </c>
      <c r="K6" s="154">
        <v>300000.0</v>
      </c>
      <c r="L6" s="155" t="s">
        <v>206</v>
      </c>
    </row>
    <row r="7">
      <c r="B7" s="156" t="s">
        <v>207</v>
      </c>
      <c r="C7" s="157" t="s">
        <v>208</v>
      </c>
      <c r="D7" s="158">
        <v>80000.0</v>
      </c>
      <c r="E7" s="157" t="s">
        <v>209</v>
      </c>
      <c r="F7" s="157" t="s">
        <v>210</v>
      </c>
      <c r="G7" s="157" t="s">
        <v>211</v>
      </c>
      <c r="H7" s="158">
        <v>100000.0</v>
      </c>
      <c r="I7" s="157" t="s">
        <v>212</v>
      </c>
      <c r="J7" s="159"/>
      <c r="K7" s="159"/>
      <c r="L7" s="160"/>
    </row>
    <row r="8">
      <c r="J8" s="146"/>
      <c r="K8" s="154"/>
      <c r="L8" s="146"/>
    </row>
    <row r="9" ht="24.75" customHeight="1">
      <c r="B9" s="140" t="s">
        <v>213</v>
      </c>
      <c r="F9" s="139"/>
    </row>
    <row r="10">
      <c r="B10" s="161" t="s">
        <v>113</v>
      </c>
      <c r="C10" s="162" t="s">
        <v>8</v>
      </c>
      <c r="D10" s="161" t="s">
        <v>9</v>
      </c>
      <c r="E10" s="143"/>
      <c r="F10" s="143"/>
      <c r="G10" s="144"/>
    </row>
    <row r="11">
      <c r="B11" s="163" t="s">
        <v>214</v>
      </c>
      <c r="C11" s="164">
        <v>1000000.0</v>
      </c>
      <c r="D11" s="163" t="s">
        <v>215</v>
      </c>
      <c r="G11" s="147"/>
    </row>
    <row r="12">
      <c r="B12" s="163" t="s">
        <v>216</v>
      </c>
      <c r="C12" s="164">
        <v>2000000.0</v>
      </c>
      <c r="D12" s="163" t="s">
        <v>217</v>
      </c>
      <c r="G12" s="147"/>
    </row>
    <row r="13">
      <c r="B13" s="163" t="s">
        <v>218</v>
      </c>
      <c r="C13" s="165">
        <v>1000000.0</v>
      </c>
      <c r="D13" s="166" t="s">
        <v>219</v>
      </c>
      <c r="G13" s="147"/>
    </row>
    <row r="14">
      <c r="B14" s="167" t="s">
        <v>220</v>
      </c>
      <c r="C14" s="168">
        <f>C11+C12-C13</f>
        <v>2000000</v>
      </c>
      <c r="D14" s="169"/>
      <c r="E14" s="170"/>
      <c r="F14" s="170"/>
      <c r="G14" s="171"/>
    </row>
    <row r="16" ht="24.75" customHeight="1">
      <c r="B16" s="140" t="s">
        <v>221</v>
      </c>
      <c r="F16" s="139"/>
    </row>
    <row r="17">
      <c r="B17" s="172" t="s">
        <v>113</v>
      </c>
      <c r="C17" s="172" t="s">
        <v>8</v>
      </c>
      <c r="D17" s="173" t="s">
        <v>9</v>
      </c>
      <c r="E17" s="174"/>
      <c r="F17" s="174"/>
      <c r="G17" s="175"/>
    </row>
    <row r="18" ht="106.5" customHeight="1">
      <c r="B18" s="176" t="s">
        <v>222</v>
      </c>
      <c r="C18" s="177" t="s">
        <v>223</v>
      </c>
      <c r="D18" s="178" t="s">
        <v>224</v>
      </c>
      <c r="E18" s="174"/>
      <c r="F18" s="174"/>
      <c r="G18" s="175"/>
    </row>
    <row r="19">
      <c r="B19" s="176" t="s">
        <v>225</v>
      </c>
      <c r="C19" s="177" t="s">
        <v>226</v>
      </c>
      <c r="D19" s="178" t="s">
        <v>227</v>
      </c>
      <c r="E19" s="174"/>
      <c r="F19" s="174"/>
      <c r="G19" s="175"/>
    </row>
  </sheetData>
  <mergeCells count="17">
    <mergeCell ref="B3:B5"/>
    <mergeCell ref="C3:E3"/>
    <mergeCell ref="F3:I3"/>
    <mergeCell ref="J3:L3"/>
    <mergeCell ref="C4:E4"/>
    <mergeCell ref="F4:I4"/>
    <mergeCell ref="J4:L4"/>
    <mergeCell ref="D17:G17"/>
    <mergeCell ref="D18:G18"/>
    <mergeCell ref="D19:G19"/>
    <mergeCell ref="J6:J7"/>
    <mergeCell ref="K6:K7"/>
    <mergeCell ref="L6:L7"/>
    <mergeCell ref="D10:G10"/>
    <mergeCell ref="D11:G11"/>
    <mergeCell ref="D12:G12"/>
    <mergeCell ref="D13:G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4.88"/>
    <col customWidth="1" min="3" max="3" width="33.63"/>
    <col customWidth="1" min="5" max="5" width="8.38"/>
    <col customWidth="1" min="6" max="6" width="3.75"/>
    <col customWidth="1" min="7" max="7" width="15.75"/>
    <col customWidth="1" min="8" max="8" width="78.38"/>
  </cols>
  <sheetData>
    <row r="4" ht="22.5" customHeight="1">
      <c r="B4" s="119" t="s">
        <v>1</v>
      </c>
      <c r="C4" s="119" t="s">
        <v>113</v>
      </c>
      <c r="D4" s="119" t="s">
        <v>7</v>
      </c>
      <c r="E4" s="119" t="s">
        <v>4</v>
      </c>
      <c r="F4" s="120" t="s">
        <v>71</v>
      </c>
      <c r="G4" s="119" t="s">
        <v>174</v>
      </c>
      <c r="H4" s="119" t="s">
        <v>9</v>
      </c>
    </row>
    <row r="5" ht="22.5" customHeight="1">
      <c r="B5" s="121" t="s">
        <v>228</v>
      </c>
      <c r="C5" s="122" t="s">
        <v>176</v>
      </c>
      <c r="D5" s="123" t="s">
        <v>71</v>
      </c>
      <c r="E5" s="123" t="s">
        <v>71</v>
      </c>
      <c r="F5" s="124"/>
      <c r="G5" s="124">
        <v>2000000.0</v>
      </c>
      <c r="H5" s="123" t="s">
        <v>229</v>
      </c>
    </row>
    <row r="6" ht="22.5" customHeight="1">
      <c r="B6" s="179"/>
      <c r="C6" s="126" t="s">
        <v>178</v>
      </c>
      <c r="D6" s="127"/>
      <c r="E6" s="127"/>
      <c r="F6" s="128"/>
      <c r="G6" s="128">
        <v>2000000.0</v>
      </c>
      <c r="H6" s="126" t="s">
        <v>179</v>
      </c>
    </row>
    <row r="7" ht="22.5" customHeight="1">
      <c r="B7" s="121" t="s">
        <v>230</v>
      </c>
      <c r="C7" s="122" t="s">
        <v>231</v>
      </c>
      <c r="D7" s="137">
        <v>480000.0</v>
      </c>
      <c r="E7" s="180">
        <v>9.0</v>
      </c>
      <c r="F7" s="181" t="s">
        <v>14</v>
      </c>
      <c r="G7" s="137">
        <f t="shared" ref="G7:G10" si="1">D7*E7</f>
        <v>4320000</v>
      </c>
      <c r="H7" s="123" t="s">
        <v>232</v>
      </c>
    </row>
    <row r="8" ht="22.5" customHeight="1">
      <c r="B8" s="125"/>
      <c r="C8" s="182" t="s">
        <v>233</v>
      </c>
      <c r="D8" s="137">
        <f>D9+D10</f>
        <v>330000</v>
      </c>
      <c r="E8" s="122">
        <v>13.0</v>
      </c>
      <c r="F8" s="137" t="s">
        <v>181</v>
      </c>
      <c r="G8" s="137">
        <f t="shared" si="1"/>
        <v>4290000</v>
      </c>
      <c r="H8" s="123" t="s">
        <v>234</v>
      </c>
    </row>
    <row r="9" ht="22.5" customHeight="1">
      <c r="B9" s="125"/>
      <c r="C9" s="129" t="s">
        <v>235</v>
      </c>
      <c r="D9" s="124">
        <v>120000.0</v>
      </c>
      <c r="E9" s="123">
        <v>13.0</v>
      </c>
      <c r="F9" s="124" t="s">
        <v>181</v>
      </c>
      <c r="G9" s="124">
        <f t="shared" si="1"/>
        <v>1560000</v>
      </c>
      <c r="H9" s="123"/>
    </row>
    <row r="10" ht="22.5" customHeight="1">
      <c r="B10" s="125"/>
      <c r="C10" s="129" t="s">
        <v>236</v>
      </c>
      <c r="D10" s="124">
        <f>300000*0.7</f>
        <v>210000</v>
      </c>
      <c r="E10" s="123">
        <v>13.0</v>
      </c>
      <c r="F10" s="124" t="s">
        <v>181</v>
      </c>
      <c r="G10" s="124">
        <f t="shared" si="1"/>
        <v>2730000</v>
      </c>
      <c r="H10" s="123" t="s">
        <v>237</v>
      </c>
    </row>
    <row r="11" ht="22.5" customHeight="1">
      <c r="B11" s="125"/>
      <c r="C11" s="131" t="s">
        <v>184</v>
      </c>
      <c r="D11" s="132"/>
      <c r="E11" s="132"/>
      <c r="F11" s="133"/>
      <c r="G11" s="133">
        <v>85800.0</v>
      </c>
      <c r="H11" s="134" t="s">
        <v>238</v>
      </c>
    </row>
    <row r="12" ht="22.5" customHeight="1">
      <c r="B12" s="135"/>
      <c r="C12" s="126" t="s">
        <v>178</v>
      </c>
      <c r="D12" s="127"/>
      <c r="E12" s="127"/>
      <c r="F12" s="128"/>
      <c r="G12" s="128">
        <f>G7+G8+G11</f>
        <v>8695800</v>
      </c>
      <c r="H12" s="126" t="s">
        <v>179</v>
      </c>
    </row>
    <row r="13" ht="22.5" customHeight="1">
      <c r="B13" s="121" t="s">
        <v>185</v>
      </c>
      <c r="C13" s="122" t="s">
        <v>239</v>
      </c>
      <c r="D13" s="136"/>
      <c r="E13" s="136"/>
      <c r="F13" s="137"/>
      <c r="G13" s="137">
        <f>G6+G12</f>
        <v>10695800</v>
      </c>
      <c r="H13" s="123" t="s">
        <v>179</v>
      </c>
    </row>
    <row r="15">
      <c r="B15" s="138" t="s">
        <v>240</v>
      </c>
    </row>
    <row r="16">
      <c r="B16" s="96" t="s">
        <v>241</v>
      </c>
    </row>
    <row r="17" ht="20.25" customHeight="1">
      <c r="B17" s="138" t="s">
        <v>242</v>
      </c>
    </row>
    <row r="18" ht="20.25" customHeight="1">
      <c r="B18" s="96" t="s">
        <v>243</v>
      </c>
    </row>
    <row r="19">
      <c r="B19" s="138" t="s">
        <v>244</v>
      </c>
    </row>
    <row r="20">
      <c r="B20" s="96" t="s">
        <v>245</v>
      </c>
    </row>
  </sheetData>
  <dataValidations>
    <dataValidation type="custom" allowBlank="1" showDropDown="1" sqref="G5:G13">
      <formula1>AND(ISNUMBER(G5),(NOT(OR(NOT(ISERROR(DATEVALUE(G5))), AND(ISNUMBER(G5), LEFT(CELL("format", G5))="D")))))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7.5"/>
    <col customWidth="1" min="3" max="3" width="33.63"/>
    <col customWidth="1" min="5" max="5" width="8.38"/>
    <col customWidth="1" min="6" max="6" width="3.75"/>
    <col customWidth="1" min="7" max="7" width="15.75"/>
    <col customWidth="1" min="8" max="8" width="78.38"/>
  </cols>
  <sheetData>
    <row r="4" ht="22.5" customHeight="1">
      <c r="B4" s="119" t="s">
        <v>1</v>
      </c>
      <c r="C4" s="119" t="s">
        <v>113</v>
      </c>
      <c r="D4" s="119" t="s">
        <v>7</v>
      </c>
      <c r="E4" s="119" t="s">
        <v>4</v>
      </c>
      <c r="F4" s="120" t="s">
        <v>71</v>
      </c>
      <c r="G4" s="119" t="s">
        <v>174</v>
      </c>
      <c r="H4" s="119" t="s">
        <v>9</v>
      </c>
    </row>
    <row r="5" ht="22.5" customHeight="1">
      <c r="B5" s="121" t="s">
        <v>246</v>
      </c>
      <c r="C5" s="122" t="s">
        <v>247</v>
      </c>
      <c r="D5" s="137">
        <v>480000.0</v>
      </c>
      <c r="E5" s="180">
        <v>6.0</v>
      </c>
      <c r="F5" s="181" t="s">
        <v>14</v>
      </c>
      <c r="G5" s="137">
        <f>D5*E5</f>
        <v>2880000</v>
      </c>
      <c r="H5" s="123" t="s">
        <v>248</v>
      </c>
    </row>
    <row r="6" ht="22.5" customHeight="1">
      <c r="B6" s="125"/>
      <c r="C6" s="182" t="s">
        <v>249</v>
      </c>
      <c r="D6" s="137">
        <f>D7+D8</f>
        <v>330000</v>
      </c>
      <c r="E6" s="122">
        <v>7.0</v>
      </c>
      <c r="F6" s="137" t="s">
        <v>181</v>
      </c>
      <c r="G6" s="137">
        <f>G7+G8</f>
        <v>3390000</v>
      </c>
      <c r="H6" s="123" t="s">
        <v>250</v>
      </c>
    </row>
    <row r="7" ht="22.5" customHeight="1">
      <c r="B7" s="125"/>
      <c r="C7" s="129" t="s">
        <v>235</v>
      </c>
      <c r="D7" s="124">
        <v>120000.0</v>
      </c>
      <c r="E7" s="123">
        <v>16.0</v>
      </c>
      <c r="F7" s="124" t="s">
        <v>181</v>
      </c>
      <c r="G7" s="124">
        <f t="shared" ref="G7:G8" si="1">D7*E7</f>
        <v>1920000</v>
      </c>
      <c r="H7" s="123" t="s">
        <v>251</v>
      </c>
    </row>
    <row r="8" ht="22.5" customHeight="1">
      <c r="B8" s="125"/>
      <c r="C8" s="129" t="s">
        <v>236</v>
      </c>
      <c r="D8" s="124">
        <f>300000*0.7</f>
        <v>210000</v>
      </c>
      <c r="E8" s="123">
        <v>7.0</v>
      </c>
      <c r="F8" s="124" t="s">
        <v>181</v>
      </c>
      <c r="G8" s="124">
        <f t="shared" si="1"/>
        <v>1470000</v>
      </c>
      <c r="H8" s="123" t="s">
        <v>237</v>
      </c>
    </row>
    <row r="9" ht="22.5" customHeight="1">
      <c r="B9" s="125"/>
      <c r="C9" s="131" t="s">
        <v>184</v>
      </c>
      <c r="D9" s="132"/>
      <c r="E9" s="132"/>
      <c r="F9" s="133"/>
      <c r="G9" s="133">
        <f>58104+472272+26657</f>
        <v>557033</v>
      </c>
      <c r="H9" s="134" t="s">
        <v>238</v>
      </c>
    </row>
    <row r="10" ht="22.5" customHeight="1">
      <c r="B10" s="135"/>
      <c r="C10" s="126" t="s">
        <v>178</v>
      </c>
      <c r="D10" s="127"/>
      <c r="E10" s="127"/>
      <c r="F10" s="128"/>
      <c r="G10" s="128">
        <f>G5+G6+G9</f>
        <v>6827033</v>
      </c>
      <c r="H10" s="126" t="s">
        <v>179</v>
      </c>
    </row>
    <row r="11" ht="22.5" customHeight="1">
      <c r="B11" s="121" t="s">
        <v>185</v>
      </c>
      <c r="C11" s="122" t="s">
        <v>252</v>
      </c>
      <c r="D11" s="136"/>
      <c r="E11" s="136"/>
      <c r="F11" s="137"/>
      <c r="G11" s="137">
        <f>G10</f>
        <v>6827033</v>
      </c>
      <c r="H11" s="123" t="s">
        <v>179</v>
      </c>
    </row>
    <row r="13">
      <c r="B13" s="138" t="s">
        <v>240</v>
      </c>
    </row>
    <row r="14">
      <c r="B14" s="96" t="s">
        <v>241</v>
      </c>
    </row>
    <row r="15" ht="20.25" customHeight="1">
      <c r="B15" s="138" t="s">
        <v>253</v>
      </c>
    </row>
    <row r="16" ht="20.25" customHeight="1">
      <c r="B16" s="96" t="s">
        <v>243</v>
      </c>
    </row>
    <row r="17" ht="20.25" customHeight="1">
      <c r="B17" s="138" t="s">
        <v>244</v>
      </c>
    </row>
    <row r="18">
      <c r="B18" s="96" t="s">
        <v>254</v>
      </c>
    </row>
    <row r="19" ht="20.25" customHeight="1"/>
    <row r="20" ht="20.25" customHeight="1">
      <c r="B20" s="138" t="s">
        <v>255</v>
      </c>
    </row>
    <row r="21">
      <c r="B21" s="138" t="s">
        <v>256</v>
      </c>
      <c r="C21" s="96" t="s">
        <v>257</v>
      </c>
      <c r="D21" s="96">
        <v>13.0</v>
      </c>
      <c r="E21" s="96" t="s">
        <v>258</v>
      </c>
    </row>
    <row r="22">
      <c r="C22" s="96" t="s">
        <v>259</v>
      </c>
      <c r="D22" s="96">
        <v>9.0</v>
      </c>
      <c r="E22" s="96" t="s">
        <v>43</v>
      </c>
    </row>
    <row r="23">
      <c r="B23" s="138" t="s">
        <v>260</v>
      </c>
      <c r="C23" s="96" t="s">
        <v>261</v>
      </c>
      <c r="D23" s="96">
        <v>2.0</v>
      </c>
      <c r="E23" s="96" t="s">
        <v>258</v>
      </c>
    </row>
    <row r="24">
      <c r="C24" s="96" t="s">
        <v>262</v>
      </c>
      <c r="D24" s="96">
        <v>4.0</v>
      </c>
      <c r="E24" s="96" t="s">
        <v>258</v>
      </c>
    </row>
    <row r="25">
      <c r="C25" s="96" t="s">
        <v>263</v>
      </c>
      <c r="D25" s="96">
        <v>1.0</v>
      </c>
      <c r="E25" s="96" t="s">
        <v>258</v>
      </c>
    </row>
    <row r="26">
      <c r="C26" s="96" t="s">
        <v>264</v>
      </c>
      <c r="D26" s="96">
        <v>6.0</v>
      </c>
      <c r="E26" s="96" t="s">
        <v>43</v>
      </c>
    </row>
    <row r="27">
      <c r="C27" s="96" t="s">
        <v>265</v>
      </c>
      <c r="D27" s="96">
        <v>9.0</v>
      </c>
      <c r="E27" s="96" t="s">
        <v>24</v>
      </c>
    </row>
  </sheetData>
  <dataValidations>
    <dataValidation type="custom" allowBlank="1" showDropDown="1" sqref="G5:G11">
      <formula1>AND(ISNUMBER(G5),(NOT(OR(NOT(ISERROR(DATEVALUE(G5))), AND(ISNUMBER(G5), LEFT(CELL("format", G5))="D")))))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7.5"/>
    <col customWidth="1" min="3" max="3" width="33.63"/>
    <col customWidth="1" min="5" max="5" width="8.38"/>
    <col customWidth="1" min="6" max="6" width="3.75"/>
    <col customWidth="1" min="7" max="7" width="15.75"/>
    <col customWidth="1" min="8" max="8" width="78.38"/>
  </cols>
  <sheetData>
    <row r="4" ht="22.5" customHeight="1">
      <c r="B4" s="119" t="s">
        <v>1</v>
      </c>
      <c r="C4" s="119" t="s">
        <v>113</v>
      </c>
      <c r="D4" s="119" t="s">
        <v>7</v>
      </c>
      <c r="E4" s="119" t="s">
        <v>4</v>
      </c>
      <c r="F4" s="120" t="s">
        <v>71</v>
      </c>
      <c r="G4" s="119" t="s">
        <v>174</v>
      </c>
      <c r="H4" s="119" t="s">
        <v>9</v>
      </c>
    </row>
    <row r="5" ht="22.5" customHeight="1">
      <c r="B5" s="121" t="s">
        <v>266</v>
      </c>
      <c r="C5" s="122" t="s">
        <v>267</v>
      </c>
      <c r="D5" s="137">
        <v>480000.0</v>
      </c>
      <c r="E5" s="180">
        <v>5.0</v>
      </c>
      <c r="F5" s="181" t="s">
        <v>14</v>
      </c>
      <c r="G5" s="137">
        <f>D5*E5</f>
        <v>2400000</v>
      </c>
      <c r="H5" s="123" t="s">
        <v>268</v>
      </c>
    </row>
    <row r="6" ht="22.5" customHeight="1">
      <c r="B6" s="125"/>
      <c r="C6" s="182" t="s">
        <v>269</v>
      </c>
      <c r="D6" s="137"/>
      <c r="E6" s="122"/>
      <c r="F6" s="137" t="s">
        <v>181</v>
      </c>
      <c r="G6" s="137">
        <f>G7+G8</f>
        <v>4230000</v>
      </c>
    </row>
    <row r="7" ht="22.5" customHeight="1">
      <c r="B7" s="125"/>
      <c r="C7" s="129" t="s">
        <v>235</v>
      </c>
      <c r="D7" s="124">
        <v>120000.0</v>
      </c>
      <c r="E7" s="123">
        <v>9.0</v>
      </c>
      <c r="F7" s="124" t="s">
        <v>181</v>
      </c>
      <c r="G7" s="124">
        <f t="shared" ref="G7:G8" si="1">D7*E7</f>
        <v>1080000</v>
      </c>
      <c r="H7" s="123" t="s">
        <v>270</v>
      </c>
    </row>
    <row r="8" ht="22.5" customHeight="1">
      <c r="B8" s="125"/>
      <c r="C8" s="129" t="s">
        <v>236</v>
      </c>
      <c r="D8" s="124">
        <f>300000*0.7</f>
        <v>210000</v>
      </c>
      <c r="E8" s="123">
        <v>15.0</v>
      </c>
      <c r="F8" s="124" t="s">
        <v>181</v>
      </c>
      <c r="G8" s="124">
        <f t="shared" si="1"/>
        <v>3150000</v>
      </c>
      <c r="H8" s="123" t="s">
        <v>271</v>
      </c>
    </row>
    <row r="9" ht="22.5" customHeight="1">
      <c r="B9" s="125"/>
      <c r="C9" s="131" t="s">
        <v>184</v>
      </c>
      <c r="D9" s="132"/>
      <c r="E9" s="132"/>
      <c r="F9" s="133"/>
      <c r="G9" s="133">
        <f>59517+310106+435077</f>
        <v>804700</v>
      </c>
      <c r="H9" s="134" t="s">
        <v>272</v>
      </c>
    </row>
    <row r="10" ht="22.5" customHeight="1">
      <c r="B10" s="135"/>
      <c r="C10" s="126" t="s">
        <v>178</v>
      </c>
      <c r="D10" s="127"/>
      <c r="E10" s="127"/>
      <c r="F10" s="128"/>
      <c r="G10" s="128">
        <f>G5+G6+G9</f>
        <v>7434700</v>
      </c>
      <c r="H10" s="126" t="s">
        <v>179</v>
      </c>
    </row>
    <row r="11" ht="22.5" customHeight="1">
      <c r="B11" s="121" t="s">
        <v>185</v>
      </c>
      <c r="C11" s="122" t="s">
        <v>273</v>
      </c>
      <c r="D11" s="136"/>
      <c r="E11" s="136"/>
      <c r="F11" s="137"/>
      <c r="G11" s="137">
        <f>G10</f>
        <v>7434700</v>
      </c>
      <c r="H11" s="123" t="s">
        <v>179</v>
      </c>
    </row>
    <row r="13">
      <c r="B13" s="138" t="s">
        <v>240</v>
      </c>
    </row>
    <row r="14">
      <c r="B14" s="96" t="s">
        <v>241</v>
      </c>
    </row>
    <row r="15" ht="20.25" customHeight="1">
      <c r="B15" s="138" t="s">
        <v>274</v>
      </c>
    </row>
    <row r="16" ht="20.25" customHeight="1">
      <c r="B16" s="96" t="s">
        <v>243</v>
      </c>
    </row>
    <row r="17" ht="20.25" customHeight="1">
      <c r="B17" s="138" t="s">
        <v>244</v>
      </c>
    </row>
    <row r="18">
      <c r="B18" s="96" t="s">
        <v>275</v>
      </c>
    </row>
    <row r="19" ht="20.25" customHeight="1"/>
    <row r="20" ht="20.25" customHeight="1">
      <c r="B20" s="138" t="s">
        <v>255</v>
      </c>
    </row>
    <row r="21">
      <c r="B21" s="138" t="s">
        <v>256</v>
      </c>
      <c r="C21" s="96" t="s">
        <v>257</v>
      </c>
      <c r="D21" s="96">
        <v>13.0</v>
      </c>
      <c r="E21" s="96" t="s">
        <v>258</v>
      </c>
    </row>
    <row r="22">
      <c r="C22" s="96" t="s">
        <v>259</v>
      </c>
      <c r="D22" s="96">
        <v>9.0</v>
      </c>
      <c r="E22" s="96" t="s">
        <v>43</v>
      </c>
    </row>
    <row r="23">
      <c r="B23" s="138" t="s">
        <v>260</v>
      </c>
      <c r="C23" s="96" t="s">
        <v>261</v>
      </c>
      <c r="D23" s="96">
        <v>2.0</v>
      </c>
      <c r="E23" s="96" t="s">
        <v>258</v>
      </c>
    </row>
    <row r="24">
      <c r="C24" s="96" t="s">
        <v>262</v>
      </c>
      <c r="D24" s="96">
        <v>4.0</v>
      </c>
      <c r="E24" s="96" t="s">
        <v>258</v>
      </c>
    </row>
    <row r="25">
      <c r="C25" s="96" t="s">
        <v>263</v>
      </c>
      <c r="D25" s="96">
        <v>1.0</v>
      </c>
      <c r="E25" s="96" t="s">
        <v>258</v>
      </c>
    </row>
    <row r="26">
      <c r="C26" s="96" t="s">
        <v>264</v>
      </c>
      <c r="D26" s="96">
        <v>6.0</v>
      </c>
      <c r="E26" s="96" t="s">
        <v>43</v>
      </c>
    </row>
    <row r="27">
      <c r="C27" s="96" t="s">
        <v>265</v>
      </c>
      <c r="D27" s="96">
        <v>9.0</v>
      </c>
      <c r="E27" s="96" t="s">
        <v>24</v>
      </c>
    </row>
    <row r="28">
      <c r="B28" s="138" t="s">
        <v>276</v>
      </c>
      <c r="C28" s="96" t="s">
        <v>270</v>
      </c>
      <c r="D28" s="96">
        <v>9.0</v>
      </c>
      <c r="E28" s="96" t="s">
        <v>277</v>
      </c>
    </row>
    <row r="29">
      <c r="C29" s="96" t="s">
        <v>271</v>
      </c>
      <c r="D29" s="96">
        <v>15.0</v>
      </c>
      <c r="E29" s="96" t="s">
        <v>43</v>
      </c>
    </row>
  </sheetData>
  <dataValidations>
    <dataValidation type="custom" allowBlank="1" showDropDown="1" sqref="G5:G11">
      <formula1>AND(ISNUMBER(G5),(NOT(OR(NOT(ISERROR(DATEVALUE(G5))), AND(ISNUMBER(G5), LEFT(CELL("format", G5))="D")))))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7.5"/>
    <col customWidth="1" min="3" max="3" width="33.63"/>
    <col customWidth="1" min="5" max="5" width="8.38"/>
    <col customWidth="1" min="6" max="6" width="3.75"/>
    <col customWidth="1" min="7" max="7" width="15.75"/>
    <col customWidth="1" min="8" max="8" width="78.38"/>
  </cols>
  <sheetData>
    <row r="4" ht="22.5" customHeight="1">
      <c r="B4" s="119" t="s">
        <v>1</v>
      </c>
      <c r="C4" s="119" t="s">
        <v>113</v>
      </c>
      <c r="D4" s="119" t="s">
        <v>7</v>
      </c>
      <c r="E4" s="119" t="s">
        <v>4</v>
      </c>
      <c r="F4" s="120" t="s">
        <v>71</v>
      </c>
      <c r="G4" s="119" t="s">
        <v>174</v>
      </c>
      <c r="H4" s="119" t="s">
        <v>9</v>
      </c>
    </row>
    <row r="5" ht="22.5" customHeight="1">
      <c r="B5" s="121" t="s">
        <v>278</v>
      </c>
      <c r="C5" s="122" t="s">
        <v>279</v>
      </c>
      <c r="D5" s="137">
        <v>480000.0</v>
      </c>
      <c r="E5" s="180">
        <v>6.0</v>
      </c>
      <c r="F5" s="181" t="s">
        <v>14</v>
      </c>
      <c r="G5" s="137">
        <f>D5*E5</f>
        <v>2880000</v>
      </c>
      <c r="H5" s="123" t="s">
        <v>280</v>
      </c>
    </row>
    <row r="6" ht="22.5" customHeight="1">
      <c r="B6" s="125"/>
      <c r="C6" s="182" t="s">
        <v>281</v>
      </c>
      <c r="D6" s="137"/>
      <c r="E6" s="122"/>
      <c r="F6" s="137" t="s">
        <v>181</v>
      </c>
      <c r="G6" s="137">
        <f>G7+G8</f>
        <v>4050000</v>
      </c>
    </row>
    <row r="7" ht="22.5" customHeight="1">
      <c r="B7" s="125"/>
      <c r="C7" s="129" t="s">
        <v>235</v>
      </c>
      <c r="D7" s="124">
        <v>120000.0</v>
      </c>
      <c r="E7" s="123">
        <v>11.0</v>
      </c>
      <c r="F7" s="124" t="s">
        <v>181</v>
      </c>
      <c r="G7" s="124">
        <f t="shared" ref="G7:G8" si="1">D7*E7</f>
        <v>1320000</v>
      </c>
      <c r="H7" s="123" t="s">
        <v>282</v>
      </c>
    </row>
    <row r="8" ht="22.5" customHeight="1">
      <c r="B8" s="125"/>
      <c r="C8" s="129" t="s">
        <v>236</v>
      </c>
      <c r="D8" s="124">
        <f>300000*0.7</f>
        <v>210000</v>
      </c>
      <c r="E8" s="123">
        <v>13.0</v>
      </c>
      <c r="F8" s="124" t="s">
        <v>181</v>
      </c>
      <c r="G8" s="124">
        <f t="shared" si="1"/>
        <v>2730000</v>
      </c>
      <c r="H8" s="123" t="s">
        <v>283</v>
      </c>
    </row>
    <row r="9" ht="22.5" customHeight="1">
      <c r="B9" s="125"/>
      <c r="C9" s="131" t="s">
        <v>184</v>
      </c>
      <c r="D9" s="132"/>
      <c r="E9" s="132"/>
      <c r="F9" s="133"/>
      <c r="G9" s="133">
        <v>237337.0</v>
      </c>
      <c r="H9" s="134" t="s">
        <v>284</v>
      </c>
    </row>
    <row r="10" ht="22.5" customHeight="1">
      <c r="B10" s="135"/>
      <c r="C10" s="126" t="s">
        <v>178</v>
      </c>
      <c r="D10" s="127"/>
      <c r="E10" s="127"/>
      <c r="F10" s="128"/>
      <c r="G10" s="128">
        <f>G5+G6+G9</f>
        <v>7167337</v>
      </c>
      <c r="H10" s="126" t="s">
        <v>179</v>
      </c>
    </row>
    <row r="11" ht="22.5" customHeight="1">
      <c r="B11" s="121" t="s">
        <v>185</v>
      </c>
      <c r="C11" s="122" t="s">
        <v>285</v>
      </c>
      <c r="D11" s="136"/>
      <c r="E11" s="136"/>
      <c r="F11" s="137"/>
      <c r="G11" s="137">
        <f>G10</f>
        <v>7167337</v>
      </c>
      <c r="H11" s="123" t="s">
        <v>179</v>
      </c>
    </row>
    <row r="13">
      <c r="B13" s="138" t="s">
        <v>240</v>
      </c>
    </row>
    <row r="14">
      <c r="B14" s="96" t="s">
        <v>241</v>
      </c>
    </row>
    <row r="15" ht="20.25" customHeight="1">
      <c r="B15" s="138" t="s">
        <v>286</v>
      </c>
    </row>
    <row r="16" ht="20.25" customHeight="1">
      <c r="B16" s="96" t="s">
        <v>243</v>
      </c>
    </row>
    <row r="17" ht="20.25" customHeight="1">
      <c r="B17" s="138" t="s">
        <v>244</v>
      </c>
    </row>
    <row r="18">
      <c r="B18" s="96" t="s">
        <v>287</v>
      </c>
    </row>
    <row r="19" ht="20.25" customHeight="1"/>
    <row r="20" ht="20.25" customHeight="1">
      <c r="B20" s="138" t="s">
        <v>255</v>
      </c>
    </row>
    <row r="21">
      <c r="B21" s="138" t="s">
        <v>256</v>
      </c>
      <c r="C21" s="96" t="s">
        <v>257</v>
      </c>
      <c r="D21" s="96">
        <v>13.0</v>
      </c>
      <c r="E21" s="96" t="s">
        <v>258</v>
      </c>
    </row>
    <row r="22">
      <c r="C22" s="96" t="s">
        <v>259</v>
      </c>
      <c r="D22" s="96">
        <v>9.0</v>
      </c>
      <c r="E22" s="96" t="s">
        <v>43</v>
      </c>
    </row>
    <row r="23">
      <c r="B23" s="138" t="s">
        <v>260</v>
      </c>
      <c r="C23" s="96" t="s">
        <v>261</v>
      </c>
      <c r="D23" s="96">
        <v>2.0</v>
      </c>
      <c r="E23" s="96" t="s">
        <v>258</v>
      </c>
    </row>
    <row r="24">
      <c r="C24" s="96" t="s">
        <v>262</v>
      </c>
      <c r="D24" s="96">
        <v>4.0</v>
      </c>
      <c r="E24" s="96" t="s">
        <v>258</v>
      </c>
    </row>
    <row r="25">
      <c r="C25" s="96" t="s">
        <v>263</v>
      </c>
      <c r="D25" s="96">
        <v>1.0</v>
      </c>
      <c r="E25" s="96" t="s">
        <v>258</v>
      </c>
    </row>
    <row r="26">
      <c r="C26" s="96" t="s">
        <v>264</v>
      </c>
      <c r="D26" s="96">
        <v>6.0</v>
      </c>
      <c r="E26" s="96" t="s">
        <v>43</v>
      </c>
    </row>
    <row r="27">
      <c r="C27" s="96" t="s">
        <v>265</v>
      </c>
      <c r="D27" s="96">
        <v>9.0</v>
      </c>
      <c r="E27" s="96" t="s">
        <v>24</v>
      </c>
    </row>
    <row r="28">
      <c r="B28" s="138" t="s">
        <v>276</v>
      </c>
      <c r="C28" s="96" t="s">
        <v>270</v>
      </c>
      <c r="D28" s="96">
        <v>9.0</v>
      </c>
      <c r="E28" s="96" t="s">
        <v>277</v>
      </c>
    </row>
    <row r="29">
      <c r="C29" s="96" t="s">
        <v>271</v>
      </c>
      <c r="D29" s="96">
        <v>15.0</v>
      </c>
      <c r="E29" s="96" t="s">
        <v>43</v>
      </c>
    </row>
  </sheetData>
  <dataValidations>
    <dataValidation type="custom" allowBlank="1" showDropDown="1" sqref="G5:G11">
      <formula1>AND(ISNUMBER(G5),(NOT(OR(NOT(ISERROR(DATEVALUE(G5))), AND(ISNUMBER(G5), LEFT(CELL("format", G5))="D")))))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4.88"/>
    <col customWidth="1" min="3" max="3" width="32.13"/>
    <col customWidth="1" min="5" max="5" width="6.0"/>
    <col customWidth="1" min="6" max="6" width="5.38"/>
    <col customWidth="1" min="7" max="7" width="15.75"/>
    <col customWidth="1" min="8" max="8" width="78.38"/>
  </cols>
  <sheetData>
    <row r="4" ht="22.5" customHeight="1">
      <c r="B4" s="119" t="s">
        <v>1</v>
      </c>
      <c r="C4" s="119" t="s">
        <v>113</v>
      </c>
      <c r="D4" s="119" t="s">
        <v>7</v>
      </c>
      <c r="E4" s="119" t="s">
        <v>4</v>
      </c>
      <c r="F4" s="120" t="s">
        <v>71</v>
      </c>
      <c r="G4" s="119" t="s">
        <v>174</v>
      </c>
      <c r="H4" s="119" t="s">
        <v>9</v>
      </c>
    </row>
    <row r="5" ht="22.5" customHeight="1">
      <c r="B5" s="121" t="s">
        <v>228</v>
      </c>
      <c r="C5" s="122" t="s">
        <v>176</v>
      </c>
      <c r="D5" s="123" t="s">
        <v>71</v>
      </c>
      <c r="E5" s="123" t="s">
        <v>71</v>
      </c>
      <c r="F5" s="124"/>
      <c r="G5" s="124">
        <v>2000000.0</v>
      </c>
      <c r="H5" s="123" t="s">
        <v>288</v>
      </c>
    </row>
    <row r="6" ht="22.5" customHeight="1">
      <c r="B6" s="179"/>
      <c r="C6" s="126" t="s">
        <v>178</v>
      </c>
      <c r="D6" s="127"/>
      <c r="E6" s="127"/>
      <c r="F6" s="128"/>
      <c r="G6" s="128">
        <v>2000000.0</v>
      </c>
      <c r="H6" s="126" t="s">
        <v>179</v>
      </c>
    </row>
    <row r="7" ht="22.5" customHeight="1">
      <c r="B7" s="121" t="s">
        <v>230</v>
      </c>
      <c r="C7" s="122" t="s">
        <v>289</v>
      </c>
      <c r="D7" s="137">
        <v>480000.0</v>
      </c>
      <c r="E7" s="122">
        <v>5.0</v>
      </c>
      <c r="F7" s="137" t="s">
        <v>290</v>
      </c>
      <c r="G7" s="137">
        <f t="shared" ref="G7:G10" si="1">D7*E7</f>
        <v>2400000</v>
      </c>
      <c r="H7" s="123" t="s">
        <v>291</v>
      </c>
    </row>
    <row r="8" ht="22.5" customHeight="1">
      <c r="B8" s="125"/>
      <c r="C8" s="182" t="s">
        <v>292</v>
      </c>
      <c r="D8" s="137">
        <f>D9+D10</f>
        <v>330000</v>
      </c>
      <c r="E8" s="122">
        <v>13.0</v>
      </c>
      <c r="F8" s="137" t="s">
        <v>181</v>
      </c>
      <c r="G8" s="137">
        <f t="shared" si="1"/>
        <v>4290000</v>
      </c>
      <c r="H8" s="123" t="s">
        <v>234</v>
      </c>
    </row>
    <row r="9" ht="22.5" customHeight="1">
      <c r="B9" s="125"/>
      <c r="C9" s="129" t="s">
        <v>235</v>
      </c>
      <c r="D9" s="124">
        <v>120000.0</v>
      </c>
      <c r="E9" s="123">
        <v>13.0</v>
      </c>
      <c r="F9" s="124" t="s">
        <v>181</v>
      </c>
      <c r="G9" s="124">
        <f t="shared" si="1"/>
        <v>1560000</v>
      </c>
      <c r="H9" s="123"/>
    </row>
    <row r="10" ht="22.5" customHeight="1">
      <c r="B10" s="125"/>
      <c r="C10" s="129" t="s">
        <v>236</v>
      </c>
      <c r="D10" s="124">
        <f>300000*0.7</f>
        <v>210000</v>
      </c>
      <c r="E10" s="123">
        <v>13.0</v>
      </c>
      <c r="F10" s="124" t="s">
        <v>181</v>
      </c>
      <c r="G10" s="124">
        <f t="shared" si="1"/>
        <v>2730000</v>
      </c>
      <c r="H10" s="123" t="s">
        <v>237</v>
      </c>
    </row>
    <row r="11" ht="22.5" customHeight="1">
      <c r="B11" s="135"/>
      <c r="C11" s="126" t="s">
        <v>178</v>
      </c>
      <c r="D11" s="127"/>
      <c r="E11" s="127"/>
      <c r="F11" s="128"/>
      <c r="G11" s="128">
        <f>G7+G8</f>
        <v>6690000</v>
      </c>
      <c r="H11" s="126" t="s">
        <v>179</v>
      </c>
    </row>
    <row r="12" ht="22.5" customHeight="1">
      <c r="B12" s="121" t="s">
        <v>185</v>
      </c>
      <c r="C12" s="122" t="s">
        <v>239</v>
      </c>
      <c r="D12" s="136"/>
      <c r="E12" s="136"/>
      <c r="F12" s="137"/>
      <c r="G12" s="137">
        <f>G6+G11</f>
        <v>8690000</v>
      </c>
      <c r="H12" s="123" t="s">
        <v>179</v>
      </c>
    </row>
    <row r="15" ht="92.25" customHeight="1">
      <c r="B15" s="183" t="s">
        <v>293</v>
      </c>
    </row>
    <row r="16">
      <c r="B16" s="184"/>
      <c r="C16" s="184"/>
      <c r="D16" s="184"/>
      <c r="E16" s="184"/>
      <c r="F16" s="184"/>
      <c r="G16" s="184"/>
      <c r="H16" s="184"/>
    </row>
    <row r="17">
      <c r="B17" s="138"/>
      <c r="F17" s="185"/>
      <c r="G17" s="185"/>
    </row>
    <row r="18">
      <c r="B18" s="138"/>
      <c r="E18" s="186"/>
      <c r="F18" s="185"/>
      <c r="G18" s="185"/>
    </row>
    <row r="19">
      <c r="B19" s="138"/>
      <c r="C19" s="185"/>
    </row>
    <row r="20">
      <c r="B20" s="138"/>
      <c r="C20" s="187"/>
    </row>
  </sheetData>
  <dataValidations>
    <dataValidation type="custom" allowBlank="1" showDropDown="1" sqref="G5:G12">
      <formula1>AND(ISNUMBER(G5),(NOT(OR(NOT(ISERROR(DATEVALUE(G5))), AND(ISNUMBER(G5), LEFT(CELL("format", G5))="D")))))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4.88"/>
    <col customWidth="1" min="3" max="3" width="33.63"/>
    <col customWidth="1" min="5" max="5" width="8.38"/>
    <col customWidth="1" min="6" max="6" width="3.75"/>
    <col customWidth="1" min="7" max="7" width="15.75"/>
    <col customWidth="1" min="8" max="8" width="78.38"/>
  </cols>
  <sheetData>
    <row r="4" ht="22.5" customHeight="1">
      <c r="B4" s="119" t="s">
        <v>1</v>
      </c>
      <c r="C4" s="119" t="s">
        <v>113</v>
      </c>
      <c r="D4" s="119" t="s">
        <v>7</v>
      </c>
      <c r="E4" s="119" t="s">
        <v>4</v>
      </c>
      <c r="F4" s="120" t="s">
        <v>71</v>
      </c>
      <c r="G4" s="119" t="s">
        <v>174</v>
      </c>
      <c r="H4" s="119" t="s">
        <v>9</v>
      </c>
    </row>
    <row r="5" ht="22.5" customHeight="1">
      <c r="B5" s="121" t="s">
        <v>228</v>
      </c>
      <c r="C5" s="122" t="s">
        <v>176</v>
      </c>
      <c r="D5" s="123" t="s">
        <v>71</v>
      </c>
      <c r="E5" s="123" t="s">
        <v>71</v>
      </c>
      <c r="F5" s="124"/>
      <c r="G5" s="124">
        <v>2000000.0</v>
      </c>
      <c r="H5" s="123" t="s">
        <v>294</v>
      </c>
    </row>
    <row r="6" ht="22.5" customHeight="1">
      <c r="B6" s="179"/>
      <c r="C6" s="126" t="s">
        <v>178</v>
      </c>
      <c r="D6" s="127"/>
      <c r="E6" s="127"/>
      <c r="F6" s="128"/>
      <c r="G6" s="128">
        <v>2000000.0</v>
      </c>
      <c r="H6" s="126" t="s">
        <v>179</v>
      </c>
    </row>
    <row r="7" ht="22.5" customHeight="1">
      <c r="B7" s="121" t="s">
        <v>230</v>
      </c>
      <c r="C7" s="122" t="s">
        <v>295</v>
      </c>
      <c r="D7" s="137">
        <v>480000.0</v>
      </c>
      <c r="E7" s="180">
        <v>9.0</v>
      </c>
      <c r="F7" s="181" t="s">
        <v>14</v>
      </c>
      <c r="G7" s="137">
        <f t="shared" ref="G7:G10" si="1">D7*E7</f>
        <v>4320000</v>
      </c>
      <c r="H7" s="123" t="s">
        <v>232</v>
      </c>
    </row>
    <row r="8" ht="22.5" customHeight="1">
      <c r="B8" s="125"/>
      <c r="C8" s="182" t="s">
        <v>296</v>
      </c>
      <c r="D8" s="137">
        <f>D9+D10</f>
        <v>330000</v>
      </c>
      <c r="E8" s="122">
        <v>13.0</v>
      </c>
      <c r="F8" s="137" t="s">
        <v>181</v>
      </c>
      <c r="G8" s="137">
        <f t="shared" si="1"/>
        <v>4290000</v>
      </c>
      <c r="H8" s="123" t="s">
        <v>234</v>
      </c>
    </row>
    <row r="9" ht="22.5" customHeight="1">
      <c r="B9" s="125"/>
      <c r="C9" s="129" t="s">
        <v>235</v>
      </c>
      <c r="D9" s="124">
        <v>120000.0</v>
      </c>
      <c r="E9" s="123">
        <v>13.0</v>
      </c>
      <c r="F9" s="124" t="s">
        <v>181</v>
      </c>
      <c r="G9" s="124">
        <f t="shared" si="1"/>
        <v>1560000</v>
      </c>
      <c r="H9" s="123"/>
    </row>
    <row r="10" ht="22.5" customHeight="1">
      <c r="B10" s="125"/>
      <c r="C10" s="129" t="s">
        <v>236</v>
      </c>
      <c r="D10" s="124">
        <f>300000*0.7</f>
        <v>210000</v>
      </c>
      <c r="E10" s="123">
        <v>13.0</v>
      </c>
      <c r="F10" s="124" t="s">
        <v>181</v>
      </c>
      <c r="G10" s="124">
        <f t="shared" si="1"/>
        <v>2730000</v>
      </c>
      <c r="H10" s="123" t="s">
        <v>237</v>
      </c>
    </row>
    <row r="11" ht="22.5" customHeight="1">
      <c r="B11" s="125"/>
      <c r="C11" s="131" t="s">
        <v>184</v>
      </c>
      <c r="D11" s="132"/>
      <c r="E11" s="132"/>
      <c r="F11" s="133"/>
      <c r="G11" s="133">
        <v>85800.0</v>
      </c>
      <c r="H11" s="134" t="s">
        <v>238</v>
      </c>
    </row>
    <row r="12" ht="22.5" customHeight="1">
      <c r="B12" s="135"/>
      <c r="C12" s="126" t="s">
        <v>178</v>
      </c>
      <c r="D12" s="127"/>
      <c r="E12" s="127"/>
      <c r="F12" s="128"/>
      <c r="G12" s="128">
        <f>G7+G8+G11</f>
        <v>8695800</v>
      </c>
      <c r="H12" s="126" t="s">
        <v>179</v>
      </c>
    </row>
    <row r="13" ht="22.5" customHeight="1">
      <c r="B13" s="121" t="s">
        <v>185</v>
      </c>
      <c r="C13" s="122" t="s">
        <v>239</v>
      </c>
      <c r="D13" s="136"/>
      <c r="E13" s="136"/>
      <c r="F13" s="137"/>
      <c r="G13" s="137">
        <f>G6+G12</f>
        <v>10695800</v>
      </c>
      <c r="H13" s="123" t="s">
        <v>179</v>
      </c>
    </row>
    <row r="15">
      <c r="B15" s="138" t="s">
        <v>297</v>
      </c>
    </row>
    <row r="16">
      <c r="B16" s="138" t="s">
        <v>298</v>
      </c>
    </row>
    <row r="17" ht="20.25" customHeight="1">
      <c r="B17" s="138" t="s">
        <v>299</v>
      </c>
    </row>
    <row r="18" ht="20.25" customHeight="1"/>
    <row r="19" ht="20.25" customHeight="1">
      <c r="B19" s="183"/>
    </row>
    <row r="20">
      <c r="B20" s="184"/>
      <c r="C20" s="184"/>
      <c r="D20" s="184"/>
      <c r="E20" s="184"/>
      <c r="F20" s="184"/>
      <c r="G20" s="184"/>
      <c r="H20" s="184"/>
    </row>
    <row r="21" ht="22.5" customHeight="1">
      <c r="B21" s="119" t="s">
        <v>1</v>
      </c>
      <c r="C21" s="119" t="s">
        <v>113</v>
      </c>
      <c r="D21" s="119" t="s">
        <v>7</v>
      </c>
      <c r="E21" s="119" t="s">
        <v>4</v>
      </c>
      <c r="F21" s="120" t="s">
        <v>71</v>
      </c>
      <c r="G21" s="119" t="s">
        <v>174</v>
      </c>
      <c r="H21" s="119" t="s">
        <v>9</v>
      </c>
    </row>
    <row r="22" ht="22.5" customHeight="1">
      <c r="B22" s="121" t="s">
        <v>228</v>
      </c>
      <c r="C22" s="122" t="s">
        <v>176</v>
      </c>
      <c r="D22" s="123" t="s">
        <v>71</v>
      </c>
      <c r="E22" s="123" t="s">
        <v>71</v>
      </c>
      <c r="F22" s="124"/>
      <c r="G22" s="124">
        <v>2000000.0</v>
      </c>
      <c r="H22" s="123" t="s">
        <v>300</v>
      </c>
    </row>
    <row r="23" ht="22.5" customHeight="1">
      <c r="B23" s="179"/>
      <c r="C23" s="126" t="s">
        <v>178</v>
      </c>
      <c r="D23" s="127"/>
      <c r="E23" s="127"/>
      <c r="F23" s="128"/>
      <c r="G23" s="128">
        <v>2000000.0</v>
      </c>
      <c r="H23" s="126" t="s">
        <v>179</v>
      </c>
    </row>
    <row r="24" ht="22.5" customHeight="1">
      <c r="B24" s="121" t="s">
        <v>230</v>
      </c>
      <c r="C24" s="122" t="s">
        <v>301</v>
      </c>
      <c r="D24" s="181">
        <v>800000.0</v>
      </c>
      <c r="E24" s="122">
        <v>5.0</v>
      </c>
      <c r="F24" s="137" t="s">
        <v>290</v>
      </c>
      <c r="G24" s="137">
        <f t="shared" ref="G24:G27" si="2">D24*E24</f>
        <v>4000000</v>
      </c>
      <c r="H24" s="123" t="s">
        <v>291</v>
      </c>
    </row>
    <row r="25" ht="22.5" customHeight="1">
      <c r="B25" s="125"/>
      <c r="C25" s="182" t="s">
        <v>302</v>
      </c>
      <c r="D25" s="137">
        <f>D26+D27</f>
        <v>330000</v>
      </c>
      <c r="E25" s="122">
        <v>13.0</v>
      </c>
      <c r="F25" s="137" t="s">
        <v>181</v>
      </c>
      <c r="G25" s="137">
        <f t="shared" si="2"/>
        <v>4290000</v>
      </c>
      <c r="H25" s="123" t="s">
        <v>234</v>
      </c>
    </row>
    <row r="26" ht="22.5" customHeight="1">
      <c r="B26" s="125"/>
      <c r="C26" s="129" t="s">
        <v>235</v>
      </c>
      <c r="D26" s="124">
        <v>120000.0</v>
      </c>
      <c r="E26" s="123">
        <v>13.0</v>
      </c>
      <c r="F26" s="124" t="s">
        <v>181</v>
      </c>
      <c r="G26" s="124">
        <f t="shared" si="2"/>
        <v>1560000</v>
      </c>
      <c r="H26" s="123"/>
    </row>
    <row r="27" ht="22.5" customHeight="1">
      <c r="B27" s="125"/>
      <c r="C27" s="129" t="s">
        <v>236</v>
      </c>
      <c r="D27" s="124">
        <f>300000*0.7</f>
        <v>210000</v>
      </c>
      <c r="E27" s="123">
        <v>13.0</v>
      </c>
      <c r="F27" s="124" t="s">
        <v>181</v>
      </c>
      <c r="G27" s="124">
        <f t="shared" si="2"/>
        <v>2730000</v>
      </c>
      <c r="H27" s="123" t="s">
        <v>237</v>
      </c>
    </row>
    <row r="28" ht="22.5" customHeight="1">
      <c r="B28" s="135"/>
      <c r="C28" s="126" t="s">
        <v>178</v>
      </c>
      <c r="D28" s="127"/>
      <c r="E28" s="127"/>
      <c r="F28" s="128"/>
      <c r="G28" s="128">
        <f>G24+G25</f>
        <v>8290000</v>
      </c>
      <c r="H28" s="126" t="s">
        <v>179</v>
      </c>
    </row>
    <row r="29" ht="22.5" customHeight="1">
      <c r="B29" s="121" t="s">
        <v>185</v>
      </c>
      <c r="C29" s="122" t="s">
        <v>239</v>
      </c>
      <c r="D29" s="136"/>
      <c r="E29" s="136"/>
      <c r="F29" s="137"/>
      <c r="G29" s="137">
        <f>G23+G28</f>
        <v>10290000</v>
      </c>
      <c r="H29" s="123" t="s">
        <v>179</v>
      </c>
    </row>
    <row r="31">
      <c r="B31" s="138" t="s">
        <v>303</v>
      </c>
    </row>
    <row r="32">
      <c r="B32" s="138" t="s">
        <v>304</v>
      </c>
    </row>
    <row r="33">
      <c r="B33" s="138" t="s">
        <v>305</v>
      </c>
    </row>
    <row r="34">
      <c r="B34" s="139"/>
    </row>
  </sheetData>
  <dataValidations>
    <dataValidation type="custom" allowBlank="1" showDropDown="1" sqref="G5:G13 G22:G29">
      <formula1>AND(ISNUMBER(G5),(NOT(OR(NOT(ISERROR(DATEVALUE(G5))), AND(ISNUMBER(G5), LEFT(CELL("format", G5))="D")))))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.75"/>
    <col customWidth="1" min="3" max="3" width="18.25"/>
    <col customWidth="1" min="4" max="4" width="26.63"/>
    <col customWidth="1" min="5" max="8" width="7.0"/>
    <col customWidth="1" min="9" max="10" width="15.25"/>
    <col customWidth="1" min="11" max="11" width="62.0"/>
  </cols>
  <sheetData>
    <row r="2">
      <c r="B2" s="1" t="s">
        <v>306</v>
      </c>
    </row>
    <row r="4">
      <c r="B4" s="2" t="s">
        <v>1</v>
      </c>
      <c r="C4" s="3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5</v>
      </c>
      <c r="I4" s="2" t="s">
        <v>7</v>
      </c>
      <c r="J4" s="2" t="s">
        <v>8</v>
      </c>
      <c r="K4" s="3" t="s">
        <v>9</v>
      </c>
    </row>
    <row r="5">
      <c r="B5" s="188" t="s">
        <v>307</v>
      </c>
      <c r="C5" s="189" t="s">
        <v>11</v>
      </c>
      <c r="D5" s="190" t="s">
        <v>12</v>
      </c>
      <c r="E5" s="191">
        <v>1.0</v>
      </c>
      <c r="F5" s="191" t="s">
        <v>13</v>
      </c>
      <c r="G5" s="191">
        <v>1.0</v>
      </c>
      <c r="H5" s="191" t="s">
        <v>14</v>
      </c>
      <c r="I5" s="192">
        <v>200000.0</v>
      </c>
      <c r="J5" s="193">
        <f t="shared" ref="J5:J6" si="1">E5*G5*I5</f>
        <v>200000</v>
      </c>
      <c r="K5" s="194"/>
    </row>
    <row r="6">
      <c r="C6" s="11"/>
      <c r="D6" s="190" t="s">
        <v>308</v>
      </c>
      <c r="E6" s="191">
        <v>1.0</v>
      </c>
      <c r="F6" s="191" t="s">
        <v>13</v>
      </c>
      <c r="G6" s="191">
        <v>3.0</v>
      </c>
      <c r="H6" s="191" t="s">
        <v>17</v>
      </c>
      <c r="I6" s="192">
        <v>600000.0</v>
      </c>
      <c r="J6" s="193">
        <f t="shared" si="1"/>
        <v>1800000</v>
      </c>
      <c r="K6" s="194" t="s">
        <v>18</v>
      </c>
    </row>
    <row r="7">
      <c r="B7" s="13" t="s">
        <v>19</v>
      </c>
      <c r="C7" s="14"/>
      <c r="D7" s="14"/>
      <c r="E7" s="14"/>
      <c r="F7" s="14"/>
      <c r="G7" s="14"/>
      <c r="H7" s="14"/>
      <c r="I7" s="15"/>
      <c r="J7" s="16">
        <f>sum(J5:J6)</f>
        <v>2000000</v>
      </c>
      <c r="K7" s="17"/>
    </row>
    <row r="9">
      <c r="B9" s="18" t="s">
        <v>309</v>
      </c>
      <c r="C9" s="19"/>
      <c r="D9" s="19"/>
      <c r="E9" s="19"/>
      <c r="F9" s="19"/>
      <c r="G9" s="19"/>
      <c r="H9" s="19"/>
      <c r="I9" s="20"/>
      <c r="J9" s="21"/>
      <c r="K9" s="22"/>
    </row>
    <row r="10">
      <c r="B10" s="2" t="s">
        <v>1</v>
      </c>
      <c r="C10" s="3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5</v>
      </c>
      <c r="I10" s="2" t="s">
        <v>7</v>
      </c>
      <c r="J10" s="2" t="s">
        <v>8</v>
      </c>
      <c r="K10" s="3" t="s">
        <v>9</v>
      </c>
    </row>
    <row r="11">
      <c r="B11" s="5" t="s">
        <v>22</v>
      </c>
      <c r="C11" s="5" t="s">
        <v>310</v>
      </c>
      <c r="D11" s="6" t="s">
        <v>24</v>
      </c>
      <c r="E11" s="7">
        <v>1.0</v>
      </c>
      <c r="F11" s="7" t="s">
        <v>13</v>
      </c>
      <c r="G11" s="7">
        <v>1.0</v>
      </c>
      <c r="H11" s="7" t="s">
        <v>14</v>
      </c>
      <c r="I11" s="8">
        <v>200000.0</v>
      </c>
      <c r="J11" s="9">
        <f t="shared" ref="J11:J15" si="2">E11*G11*I11</f>
        <v>200000</v>
      </c>
      <c r="K11" s="26" t="s">
        <v>25</v>
      </c>
    </row>
    <row r="12">
      <c r="B12" s="11"/>
      <c r="C12" s="11"/>
      <c r="D12" s="6" t="s">
        <v>26</v>
      </c>
      <c r="E12" s="7">
        <v>1.0</v>
      </c>
      <c r="F12" s="7" t="s">
        <v>13</v>
      </c>
      <c r="G12" s="7">
        <v>1.0</v>
      </c>
      <c r="H12" s="7" t="s">
        <v>14</v>
      </c>
      <c r="I12" s="8">
        <v>300000.0</v>
      </c>
      <c r="J12" s="9">
        <f t="shared" si="2"/>
        <v>300000</v>
      </c>
      <c r="K12" s="27" t="s">
        <v>27</v>
      </c>
    </row>
    <row r="13">
      <c r="B13" s="11"/>
      <c r="C13" s="11"/>
      <c r="D13" s="6" t="s">
        <v>28</v>
      </c>
      <c r="E13" s="7">
        <v>1.0</v>
      </c>
      <c r="F13" s="7" t="s">
        <v>13</v>
      </c>
      <c r="G13" s="7">
        <v>2.0</v>
      </c>
      <c r="H13" s="7" t="s">
        <v>29</v>
      </c>
      <c r="I13" s="8">
        <v>300000.0</v>
      </c>
      <c r="J13" s="9">
        <f t="shared" si="2"/>
        <v>600000</v>
      </c>
      <c r="K13" s="27" t="s">
        <v>30</v>
      </c>
    </row>
    <row r="14">
      <c r="B14" s="11"/>
      <c r="C14" s="11"/>
      <c r="D14" s="6" t="s">
        <v>31</v>
      </c>
      <c r="E14" s="7">
        <v>1.0</v>
      </c>
      <c r="F14" s="7" t="s">
        <v>13</v>
      </c>
      <c r="G14" s="7">
        <v>3.0</v>
      </c>
      <c r="H14" s="7" t="s">
        <v>32</v>
      </c>
      <c r="I14" s="8">
        <v>100000.0</v>
      </c>
      <c r="J14" s="9">
        <f t="shared" si="2"/>
        <v>300000</v>
      </c>
      <c r="K14" s="27" t="s">
        <v>33</v>
      </c>
    </row>
    <row r="15">
      <c r="B15" s="11"/>
      <c r="C15" s="11"/>
      <c r="D15" s="6" t="s">
        <v>34</v>
      </c>
      <c r="E15" s="28">
        <v>1.0</v>
      </c>
      <c r="F15" s="28" t="s">
        <v>13</v>
      </c>
      <c r="G15" s="7">
        <v>2.0</v>
      </c>
      <c r="H15" s="7" t="s">
        <v>35</v>
      </c>
      <c r="I15" s="8">
        <v>400000.0</v>
      </c>
      <c r="J15" s="9">
        <f t="shared" si="2"/>
        <v>800000</v>
      </c>
      <c r="K15" s="27" t="s">
        <v>36</v>
      </c>
    </row>
    <row r="16">
      <c r="B16" s="11"/>
      <c r="C16" s="13" t="s">
        <v>37</v>
      </c>
      <c r="D16" s="14"/>
      <c r="E16" s="14"/>
      <c r="F16" s="14"/>
      <c r="G16" s="14"/>
      <c r="H16" s="14"/>
      <c r="I16" s="15"/>
      <c r="J16" s="16">
        <f>sum(J11:J15)</f>
        <v>2200000</v>
      </c>
      <c r="K16" s="17"/>
    </row>
    <row r="17">
      <c r="B17" s="11"/>
      <c r="C17" s="29" t="s">
        <v>311</v>
      </c>
      <c r="D17" s="6" t="s">
        <v>24</v>
      </c>
      <c r="E17" s="28">
        <v>1.0</v>
      </c>
      <c r="F17" s="28" t="s">
        <v>13</v>
      </c>
      <c r="G17" s="7">
        <v>1.0</v>
      </c>
      <c r="H17" s="7" t="s">
        <v>14</v>
      </c>
      <c r="I17" s="8">
        <v>300000.0</v>
      </c>
      <c r="J17" s="9">
        <f t="shared" ref="J17:J20" si="3">E17*G17*I17</f>
        <v>300000</v>
      </c>
      <c r="K17" s="30" t="s">
        <v>39</v>
      </c>
    </row>
    <row r="18">
      <c r="B18" s="11"/>
      <c r="C18" s="11"/>
      <c r="D18" s="7" t="s">
        <v>40</v>
      </c>
      <c r="E18" s="28">
        <v>1.0</v>
      </c>
      <c r="F18" s="28" t="s">
        <v>13</v>
      </c>
      <c r="G18" s="7">
        <v>2.0</v>
      </c>
      <c r="H18" s="7" t="s">
        <v>41</v>
      </c>
      <c r="I18" s="8">
        <v>300000.0</v>
      </c>
      <c r="J18" s="9">
        <f t="shared" si="3"/>
        <v>600000</v>
      </c>
      <c r="K18" s="30" t="s">
        <v>42</v>
      </c>
    </row>
    <row r="19">
      <c r="B19" s="11"/>
      <c r="C19" s="11"/>
      <c r="D19" s="7" t="s">
        <v>43</v>
      </c>
      <c r="E19" s="28">
        <v>1.0</v>
      </c>
      <c r="F19" s="28" t="s">
        <v>13</v>
      </c>
      <c r="G19" s="7">
        <v>2.0</v>
      </c>
      <c r="H19" s="7" t="s">
        <v>29</v>
      </c>
      <c r="I19" s="8">
        <v>300000.0</v>
      </c>
      <c r="J19" s="9">
        <f t="shared" si="3"/>
        <v>600000</v>
      </c>
      <c r="K19" s="31"/>
    </row>
    <row r="20">
      <c r="B20" s="11"/>
      <c r="C20" s="11"/>
      <c r="D20" s="7" t="s">
        <v>34</v>
      </c>
      <c r="E20" s="28">
        <v>1.0</v>
      </c>
      <c r="F20" s="28" t="s">
        <v>13</v>
      </c>
      <c r="G20" s="7">
        <v>3.0</v>
      </c>
      <c r="H20" s="7" t="s">
        <v>35</v>
      </c>
      <c r="I20" s="8">
        <v>400000.0</v>
      </c>
      <c r="J20" s="9">
        <f t="shared" si="3"/>
        <v>1200000</v>
      </c>
      <c r="K20" s="30"/>
    </row>
    <row r="21">
      <c r="B21" s="11"/>
      <c r="C21" s="13" t="s">
        <v>44</v>
      </c>
      <c r="D21" s="14"/>
      <c r="E21" s="14"/>
      <c r="F21" s="14"/>
      <c r="G21" s="14"/>
      <c r="H21" s="14"/>
      <c r="I21" s="15"/>
      <c r="J21" s="16">
        <f>sum(J17:J20)</f>
        <v>2700000</v>
      </c>
      <c r="K21" s="17"/>
    </row>
    <row r="22">
      <c r="B22" s="11"/>
      <c r="C22" s="5" t="s">
        <v>312</v>
      </c>
      <c r="D22" s="7" t="s">
        <v>24</v>
      </c>
      <c r="E22" s="7">
        <v>1.0</v>
      </c>
      <c r="F22" s="7" t="s">
        <v>13</v>
      </c>
      <c r="G22" s="7">
        <v>1.0</v>
      </c>
      <c r="H22" s="7" t="s">
        <v>14</v>
      </c>
      <c r="I22" s="8">
        <v>200000.0</v>
      </c>
      <c r="J22" s="9">
        <f>E22*G22*I22</f>
        <v>200000</v>
      </c>
      <c r="K22" s="30" t="s">
        <v>46</v>
      </c>
    </row>
    <row r="23">
      <c r="B23" s="11"/>
      <c r="C23" s="11"/>
      <c r="D23" s="7" t="s">
        <v>43</v>
      </c>
      <c r="E23" s="7">
        <v>1.0</v>
      </c>
      <c r="F23" s="7" t="s">
        <v>13</v>
      </c>
      <c r="G23" s="7">
        <v>1.0</v>
      </c>
      <c r="H23" s="7" t="s">
        <v>14</v>
      </c>
      <c r="I23" s="8">
        <v>300000.0</v>
      </c>
      <c r="J23" s="8">
        <v>600000.0</v>
      </c>
      <c r="K23" s="31"/>
    </row>
    <row r="24">
      <c r="B24" s="11"/>
      <c r="C24" s="32"/>
      <c r="D24" s="7" t="s">
        <v>34</v>
      </c>
      <c r="E24" s="28">
        <v>1.0</v>
      </c>
      <c r="F24" s="28" t="s">
        <v>13</v>
      </c>
      <c r="G24" s="7">
        <v>2.0</v>
      </c>
      <c r="H24" s="7" t="s">
        <v>35</v>
      </c>
      <c r="I24" s="8">
        <v>400000.0</v>
      </c>
      <c r="J24" s="9">
        <f>E24*G24*I24</f>
        <v>800000</v>
      </c>
      <c r="K24" s="31"/>
    </row>
    <row r="25">
      <c r="B25" s="32"/>
      <c r="C25" s="13" t="s">
        <v>47</v>
      </c>
      <c r="D25" s="14"/>
      <c r="E25" s="14"/>
      <c r="F25" s="14"/>
      <c r="G25" s="14"/>
      <c r="H25" s="14"/>
      <c r="I25" s="15"/>
      <c r="J25" s="16">
        <f>sum(J22:J24)</f>
        <v>1600000</v>
      </c>
      <c r="K25" s="17"/>
    </row>
    <row r="26">
      <c r="B26" s="39" t="s">
        <v>48</v>
      </c>
      <c r="C26" s="35" t="s">
        <v>313</v>
      </c>
      <c r="D26" s="19"/>
      <c r="E26" s="19"/>
      <c r="F26" s="19"/>
      <c r="G26" s="35"/>
      <c r="H26" s="35"/>
      <c r="I26" s="195"/>
      <c r="J26" s="196">
        <v>800000.0</v>
      </c>
      <c r="K26" s="30" t="s">
        <v>314</v>
      </c>
    </row>
    <row r="27">
      <c r="B27" s="39" t="s">
        <v>60</v>
      </c>
      <c r="C27" s="19"/>
      <c r="D27" s="19"/>
      <c r="E27" s="19"/>
      <c r="F27" s="19"/>
      <c r="G27" s="19"/>
      <c r="H27" s="19"/>
      <c r="I27" s="20"/>
      <c r="J27" s="196">
        <v>200000.0</v>
      </c>
      <c r="K27" s="31"/>
    </row>
    <row r="28">
      <c r="B28" s="42" t="s">
        <v>315</v>
      </c>
      <c r="C28" s="19"/>
      <c r="D28" s="19"/>
      <c r="E28" s="19"/>
      <c r="F28" s="19"/>
      <c r="G28" s="19"/>
      <c r="H28" s="19"/>
      <c r="I28" s="20"/>
      <c r="J28" s="43">
        <f>J16+J21+J25+J26+J27</f>
        <v>7500000</v>
      </c>
      <c r="K28" s="197"/>
    </row>
    <row r="29">
      <c r="A29" s="45"/>
      <c r="B29" s="46"/>
      <c r="C29" s="46"/>
      <c r="D29" s="46"/>
      <c r="E29" s="46"/>
      <c r="F29" s="46"/>
      <c r="G29" s="46"/>
      <c r="H29" s="46"/>
      <c r="I29" s="47"/>
      <c r="J29" s="47"/>
      <c r="K29" s="46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>
      <c r="B30" s="18" t="s">
        <v>316</v>
      </c>
      <c r="C30" s="19"/>
      <c r="D30" s="19"/>
      <c r="E30" s="19"/>
      <c r="F30" s="19"/>
      <c r="G30" s="19"/>
      <c r="H30" s="19"/>
      <c r="I30" s="20"/>
      <c r="J30" s="21"/>
      <c r="K30" s="22"/>
    </row>
    <row r="31">
      <c r="B31" s="5" t="s">
        <v>48</v>
      </c>
      <c r="C31" s="48" t="s">
        <v>49</v>
      </c>
      <c r="D31" s="6" t="s">
        <v>317</v>
      </c>
      <c r="E31" s="7">
        <v>1.0</v>
      </c>
      <c r="F31" s="7" t="s">
        <v>13</v>
      </c>
      <c r="G31" s="7">
        <v>1.0</v>
      </c>
      <c r="H31" s="7" t="s">
        <v>14</v>
      </c>
      <c r="I31" s="8">
        <v>200000.0</v>
      </c>
      <c r="J31" s="9">
        <f t="shared" ref="J31:J33" si="4">E31*G31*I31</f>
        <v>200000</v>
      </c>
      <c r="K31" s="30" t="s">
        <v>65</v>
      </c>
    </row>
    <row r="32">
      <c r="B32" s="11"/>
      <c r="C32" s="11"/>
      <c r="D32" s="6" t="s">
        <v>318</v>
      </c>
      <c r="E32" s="7">
        <v>1.0</v>
      </c>
      <c r="F32" s="7" t="s">
        <v>13</v>
      </c>
      <c r="G32" s="7">
        <v>1.0</v>
      </c>
      <c r="H32" s="7" t="s">
        <v>14</v>
      </c>
      <c r="I32" s="49">
        <v>250000.0</v>
      </c>
      <c r="J32" s="9">
        <f t="shared" si="4"/>
        <v>250000</v>
      </c>
      <c r="K32" s="30" t="s">
        <v>67</v>
      </c>
    </row>
    <row r="33">
      <c r="B33" s="11"/>
      <c r="C33" s="32"/>
      <c r="D33" s="6" t="s">
        <v>319</v>
      </c>
      <c r="E33" s="7">
        <v>1.0</v>
      </c>
      <c r="F33" s="7" t="s">
        <v>13</v>
      </c>
      <c r="G33" s="7">
        <v>1.0</v>
      </c>
      <c r="H33" s="7" t="s">
        <v>14</v>
      </c>
      <c r="I33" s="49">
        <v>250000.0</v>
      </c>
      <c r="J33" s="9">
        <f t="shared" si="4"/>
        <v>250000</v>
      </c>
      <c r="K33" s="30" t="s">
        <v>69</v>
      </c>
    </row>
    <row r="34">
      <c r="B34" s="11"/>
      <c r="C34" s="48" t="s">
        <v>55</v>
      </c>
      <c r="D34" s="6" t="s">
        <v>320</v>
      </c>
      <c r="E34" s="7">
        <v>1.0</v>
      </c>
      <c r="F34" s="7" t="s">
        <v>13</v>
      </c>
      <c r="G34" s="7">
        <v>1.0</v>
      </c>
      <c r="H34" s="7" t="s">
        <v>14</v>
      </c>
      <c r="I34" s="198"/>
      <c r="J34" s="20"/>
      <c r="K34" s="52" t="s">
        <v>321</v>
      </c>
    </row>
    <row r="35">
      <c r="B35" s="11"/>
      <c r="C35" s="11"/>
      <c r="D35" s="6" t="s">
        <v>322</v>
      </c>
      <c r="E35" s="7">
        <v>1.0</v>
      </c>
      <c r="F35" s="7" t="s">
        <v>13</v>
      </c>
      <c r="G35" s="7">
        <v>1.0</v>
      </c>
      <c r="H35" s="7" t="s">
        <v>14</v>
      </c>
      <c r="I35" s="30">
        <v>300000.0</v>
      </c>
      <c r="J35" s="9">
        <f t="shared" ref="J35:J36" si="5">E35*G35*I35</f>
        <v>300000</v>
      </c>
      <c r="K35" s="52" t="s">
        <v>323</v>
      </c>
    </row>
    <row r="36">
      <c r="B36" s="32"/>
      <c r="C36" s="32"/>
      <c r="D36" s="6" t="s">
        <v>58</v>
      </c>
      <c r="E36" s="7">
        <v>1.0</v>
      </c>
      <c r="F36" s="7" t="s">
        <v>13</v>
      </c>
      <c r="G36" s="7">
        <v>1.0</v>
      </c>
      <c r="H36" s="7" t="s">
        <v>14</v>
      </c>
      <c r="I36" s="30">
        <v>800000.0</v>
      </c>
      <c r="J36" s="9">
        <f t="shared" si="5"/>
        <v>800000</v>
      </c>
      <c r="K36" s="52" t="s">
        <v>77</v>
      </c>
    </row>
  </sheetData>
  <mergeCells count="19">
    <mergeCell ref="C17:C20"/>
    <mergeCell ref="C21:I21"/>
    <mergeCell ref="B5:B6"/>
    <mergeCell ref="C5:C6"/>
    <mergeCell ref="B7:I7"/>
    <mergeCell ref="B9:I9"/>
    <mergeCell ref="B11:B25"/>
    <mergeCell ref="C11:C15"/>
    <mergeCell ref="C16:I16"/>
    <mergeCell ref="C31:C33"/>
    <mergeCell ref="C34:C36"/>
    <mergeCell ref="C22:C24"/>
    <mergeCell ref="C25:I25"/>
    <mergeCell ref="C26:F26"/>
    <mergeCell ref="B27:I27"/>
    <mergeCell ref="B28:I28"/>
    <mergeCell ref="B30:I30"/>
    <mergeCell ref="B31:B36"/>
    <mergeCell ref="I34:J34"/>
  </mergeCells>
  <drawing r:id="rId1"/>
</worksheet>
</file>