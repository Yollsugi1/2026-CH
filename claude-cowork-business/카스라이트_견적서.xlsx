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<sst xmlns="http://schemas.openxmlformats.org/spreadsheetml/2006/main" count="67" uniqueCount="54">
  <si>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견 적 서</t>
  </si>
  <si>
    <t xml:space="preserve">프로젝트</t>
  </si>
  <si>
    <t xml:space="preserve">카스라이트 러닝크루 연간콘텐츠 제작</t>
  </si>
  <si>
    <t xml:space="preserve">일자</t>
  </si>
  <si>
    <t xml:space="preserve">2026. 02. 24</t>
  </si>
  <si>
    <t xml:space="preserve">수신</t>
  </si>
  <si>
    <t xml:space="preserve">한상필 대표</t>
  </si>
  <si>
    <t xml:space="preserve">발신</t>
  </si>
  <si>
    <t xml:space="preserve">크리에이터후드 정수현</t>
  </si>
  <si>
    <t xml:space="preserve">총 예산</t>
  </si>
  <si>
    <t xml:space="preserve">₩</t>
  </si>
  <si>
    <t xml:space="preserve">구분</t>
  </si>
  <si>
    <t xml:space="preserve">항목</t>
  </si>
  <si>
    <t xml:space="preserve">금액</t>
  </si>
  <si>
    <t xml:space="preserve">비고</t>
  </si>
  <si>
    <t xml:space="preserve">착수금</t>
  </si>
  <si>
    <r>
      <rPr>
        <sz val="10"/>
        <color rgb="FF333333"/>
        <rFont val="DejaVu Sans"/>
        <family val="2"/>
      </rPr>
      <t xml:space="preserve">첫 촬영분 </t>
    </r>
    <r>
      <rPr>
        <sz val="10"/>
        <color rgb="FF333333"/>
        <rFont val="Arial"/>
        <family val="0"/>
        <charset val="1"/>
      </rPr>
      <t xml:space="preserve">+ </t>
    </r>
    <r>
      <rPr>
        <sz val="10"/>
        <color rgb="FF333333"/>
        <rFont val="DejaVu Sans"/>
        <family val="2"/>
      </rPr>
      <t xml:space="preserve">초기 운영 세팅</t>
    </r>
  </si>
  <si>
    <t xml:space="preserve">계약 확정 시 선지급</t>
  </si>
  <si>
    <r>
      <rPr>
        <b val="true"/>
        <sz val="10"/>
        <color rgb="FF333333"/>
        <rFont val="DejaVu Sans"/>
        <family val="2"/>
      </rPr>
      <t xml:space="preserve">영상</t>
    </r>
    <r>
      <rPr>
        <b val="true"/>
        <sz val="10"/>
        <color rgb="FF333333"/>
        <rFont val="Arial"/>
        <family val="0"/>
        <charset val="1"/>
      </rPr>
      <t xml:space="preserve">+</t>
    </r>
    <r>
      <rPr>
        <b val="true"/>
        <sz val="10"/>
        <color rgb="FF333333"/>
        <rFont val="DejaVu Sans"/>
        <family val="2"/>
      </rPr>
      <t xml:space="preserve">기획운영</t>
    </r>
  </si>
  <si>
    <r>
      <rPr>
        <sz val="10"/>
        <color rgb="FF333333"/>
        <rFont val="DejaVu Sans"/>
        <family val="2"/>
      </rPr>
      <t xml:space="preserve">촬영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편집</t>
    </r>
    <r>
      <rPr>
        <sz val="10"/>
        <color rgb="FF333333"/>
        <rFont val="Arial"/>
        <family val="0"/>
        <charset val="1"/>
      </rPr>
      <t xml:space="preserve">·</t>
    </r>
    <r>
      <rPr>
        <sz val="10"/>
        <color rgb="FF333333"/>
        <rFont val="DejaVu Sans"/>
        <family val="2"/>
      </rPr>
      <t xml:space="preserve">기획 통합 관리</t>
    </r>
  </si>
  <si>
    <r>
      <rPr>
        <sz val="9"/>
        <color rgb="FF888888"/>
        <rFont val="Arial"/>
        <family val="0"/>
        <charset val="1"/>
      </rPr>
      <t xml:space="preserve">A</t>
    </r>
    <r>
      <rPr>
        <sz val="9"/>
        <color rgb="FF888888"/>
        <rFont val="DejaVu Sans"/>
        <family val="2"/>
      </rPr>
      <t xml:space="preserve">안 또는 </t>
    </r>
    <r>
      <rPr>
        <sz val="9"/>
        <color rgb="FF888888"/>
        <rFont val="Arial"/>
        <family val="0"/>
        <charset val="1"/>
      </rPr>
      <t xml:space="preserve">B</t>
    </r>
    <r>
      <rPr>
        <sz val="9"/>
        <color rgb="FF888888"/>
        <rFont val="DejaVu Sans"/>
        <family val="2"/>
      </rPr>
      <t xml:space="preserve">안 선택</t>
    </r>
  </si>
  <si>
    <t xml:space="preserve">포토</t>
  </si>
  <si>
    <r>
      <rPr>
        <sz val="10"/>
        <color rgb="FF333333"/>
        <rFont val="DejaVu Sans"/>
        <family val="2"/>
      </rPr>
      <t xml:space="preserve">촬영 건당 </t>
    </r>
    <r>
      <rPr>
        <sz val="10"/>
        <color rgb="FF333333"/>
        <rFont val="Arial"/>
        <family val="0"/>
        <charset val="1"/>
      </rPr>
      <t xml:space="preserve">20</t>
    </r>
    <r>
      <rPr>
        <sz val="10"/>
        <color rgb="FF333333"/>
        <rFont val="DejaVu Sans"/>
        <family val="2"/>
      </rPr>
      <t xml:space="preserve">만원 실비</t>
    </r>
  </si>
  <si>
    <r>
      <rPr>
        <sz val="9"/>
        <color rgb="FF888888"/>
        <rFont val="DejaVu Sans"/>
        <family val="2"/>
      </rPr>
      <t xml:space="preserve">상한 </t>
    </r>
    <r>
      <rPr>
        <sz val="9"/>
        <color rgb="FF888888"/>
        <rFont val="Arial"/>
        <family val="0"/>
        <charset val="1"/>
      </rPr>
      <t xml:space="preserve">300</t>
    </r>
    <r>
      <rPr>
        <sz val="9"/>
        <color rgb="FF888888"/>
        <rFont val="DejaVu Sans"/>
        <family val="2"/>
      </rPr>
      <t xml:space="preserve">만원</t>
    </r>
  </si>
  <si>
    <t xml:space="preserve">합계</t>
  </si>
  <si>
    <r>
      <rPr>
        <sz val="9"/>
        <color rgb="FF888888"/>
        <rFont val="Arial"/>
        <family val="0"/>
        <charset val="1"/>
      </rPr>
      <t xml:space="preserve">VAT </t>
    </r>
    <r>
      <rPr>
        <sz val="9"/>
        <color rgb="FF888888"/>
        <rFont val="DejaVu Sans"/>
        <family val="2"/>
      </rPr>
      <t xml:space="preserve">별도</t>
    </r>
  </si>
  <si>
    <t xml:space="preserve">지급 방식</t>
  </si>
  <si>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DejaVu Sans"/>
        <family val="2"/>
      </rPr>
      <t xml:space="preserve">안  </t>
    </r>
    <r>
      <rPr>
        <b val="true"/>
        <sz val="11"/>
        <color rgb="FFFFFFFF"/>
        <rFont val="Arial"/>
        <family val="0"/>
        <charset val="1"/>
      </rPr>
      <t xml:space="preserve">|  </t>
    </r>
    <r>
      <rPr>
        <b val="true"/>
        <sz val="11"/>
        <color rgb="FFFFFFFF"/>
        <rFont val="DejaVu Sans"/>
        <family val="2"/>
      </rPr>
      <t xml:space="preserve">착수금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DejaVu Sans"/>
        <family val="2"/>
      </rPr>
      <t xml:space="preserve">반기별 지급</t>
    </r>
  </si>
  <si>
    <t xml:space="preserve">시점</t>
  </si>
  <si>
    <t xml:space="preserve">누적</t>
  </si>
  <si>
    <t xml:space="preserve">계약 시점</t>
  </si>
  <si>
    <r>
      <rPr>
        <sz val="10"/>
        <color rgb="FF333333"/>
        <rFont val="DejaVu Sans"/>
        <family val="2"/>
      </rPr>
      <t xml:space="preserve">착수금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첫 촬영 </t>
    </r>
    <r>
      <rPr>
        <sz val="10"/>
        <color rgb="FF333333"/>
        <rFont val="Arial"/>
        <family val="0"/>
        <charset val="1"/>
      </rPr>
      <t xml:space="preserve">+ </t>
    </r>
    <r>
      <rPr>
        <sz val="10"/>
        <color rgb="FF333333"/>
        <rFont val="DejaVu Sans"/>
        <family val="2"/>
      </rPr>
      <t xml:space="preserve">초기 운영</t>
    </r>
    <r>
      <rPr>
        <sz val="10"/>
        <color rgb="FF333333"/>
        <rFont val="Arial"/>
        <family val="0"/>
        <charset val="1"/>
      </rPr>
      <t xml:space="preserve">)</t>
    </r>
  </si>
  <si>
    <r>
      <rPr>
        <b val="true"/>
        <sz val="10"/>
        <color rgb="FF333333"/>
        <rFont val="DejaVu Sans"/>
        <family val="2"/>
      </rPr>
      <t xml:space="preserve">상반기 </t>
    </r>
    <r>
      <rPr>
        <b val="true"/>
        <sz val="10"/>
        <color rgb="FF333333"/>
        <rFont val="Arial"/>
        <family val="0"/>
        <charset val="1"/>
      </rPr>
      <t xml:space="preserve">(6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</si>
  <si>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반기분</t>
    </r>
  </si>
  <si>
    <r>
      <rPr>
        <b val="true"/>
        <sz val="10"/>
        <color rgb="FF333333"/>
        <rFont val="DejaVu Sans"/>
        <family val="2"/>
      </rPr>
      <t xml:space="preserve">하반기 </t>
    </r>
    <r>
      <rPr>
        <b val="true"/>
        <sz val="10"/>
        <color rgb="FF333333"/>
        <rFont val="Arial"/>
        <family val="0"/>
        <charset val="1"/>
      </rPr>
      <t xml:space="preserve">(12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</si>
  <si>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반기분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영상 전달 기준</t>
    </r>
    <r>
      <rPr>
        <sz val="10"/>
        <color rgb="FF333333"/>
        <rFont val="Arial"/>
        <family val="0"/>
        <charset val="1"/>
      </rPr>
      <t xml:space="preserve">)</t>
    </r>
  </si>
  <si>
    <t xml:space="preserve">수시</t>
  </si>
  <si>
    <r>
      <rPr>
        <sz val="10"/>
        <color rgb="FF333333"/>
        <rFont val="DejaVu Sans"/>
        <family val="2"/>
      </rPr>
      <t xml:space="preserve">포토 실비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건당 </t>
    </r>
    <r>
      <rPr>
        <sz val="10"/>
        <color rgb="FF333333"/>
        <rFont val="Arial"/>
        <family val="0"/>
        <charset val="1"/>
      </rPr>
      <t xml:space="preserve">20</t>
    </r>
    <r>
      <rPr>
        <sz val="10"/>
        <color rgb="FF333333"/>
        <rFont val="DejaVu Sans"/>
        <family val="2"/>
      </rPr>
      <t xml:space="preserve">만원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DejaVu Sans"/>
        <family val="2"/>
      </rPr>
      <t xml:space="preserve">상한 </t>
    </r>
    <r>
      <rPr>
        <sz val="10"/>
        <color rgb="FF333333"/>
        <rFont val="Arial"/>
        <family val="0"/>
        <charset val="1"/>
      </rPr>
      <t xml:space="preserve">300</t>
    </r>
    <r>
      <rPr>
        <sz val="10"/>
        <color rgb="FF333333"/>
        <rFont val="DejaVu Sans"/>
        <family val="2"/>
      </rPr>
      <t xml:space="preserve">만원</t>
    </r>
    <r>
      <rPr>
        <sz val="10"/>
        <color rgb="FF333333"/>
        <rFont val="Arial"/>
        <family val="0"/>
        <charset val="1"/>
      </rPr>
      <t xml:space="preserve">)</t>
    </r>
  </si>
  <si>
    <t xml:space="preserve">실비 청구</t>
  </si>
  <si>
    <r>
      <rPr>
        <sz val="10"/>
        <color rgb="FF333333"/>
        <rFont val="DejaVu Sans"/>
        <family val="2"/>
      </rPr>
      <t xml:space="preserve">최대 </t>
    </r>
    <r>
      <rPr>
        <sz val="10"/>
        <color rgb="FF333333"/>
        <rFont val="Arial"/>
        <family val="0"/>
        <charset val="1"/>
      </rPr>
      <t xml:space="preserve">+300</t>
    </r>
    <r>
      <rPr>
        <sz val="10"/>
        <color rgb="FF333333"/>
        <rFont val="DejaVu Sans"/>
        <family val="2"/>
      </rPr>
      <t xml:space="preserve">만원</t>
    </r>
  </si>
  <si>
    <r>
      <rPr>
        <b val="true"/>
        <sz val="11"/>
        <color rgb="FFFFFFFF"/>
        <rFont val="Arial"/>
        <family val="0"/>
        <charset val="1"/>
      </rPr>
      <t xml:space="preserve">B</t>
    </r>
    <r>
      <rPr>
        <b val="true"/>
        <sz val="11"/>
        <color rgb="FFFFFFFF"/>
        <rFont val="DejaVu Sans"/>
        <family val="2"/>
      </rPr>
      <t xml:space="preserve">안  </t>
    </r>
    <r>
      <rPr>
        <b val="true"/>
        <sz val="11"/>
        <color rgb="FFFFFFFF"/>
        <rFont val="Arial"/>
        <family val="0"/>
        <charset val="1"/>
      </rPr>
      <t xml:space="preserve">|  </t>
    </r>
    <r>
      <rPr>
        <b val="true"/>
        <sz val="11"/>
        <color rgb="FFFFFFFF"/>
        <rFont val="DejaVu Sans"/>
        <family val="2"/>
      </rPr>
      <t xml:space="preserve">착수금 </t>
    </r>
    <r>
      <rPr>
        <b val="true"/>
        <sz val="11"/>
        <color rgb="FFFFFFFF"/>
        <rFont val="Arial"/>
        <family val="0"/>
        <charset val="1"/>
      </rPr>
      <t xml:space="preserve">+ </t>
    </r>
    <r>
      <rPr>
        <b val="true"/>
        <sz val="11"/>
        <color rgb="FFFFFFFF"/>
        <rFont val="DejaVu Sans"/>
        <family val="2"/>
      </rPr>
      <t xml:space="preserve">분기별 지급</t>
    </r>
  </si>
  <si>
    <r>
      <rPr>
        <b val="true"/>
        <sz val="10"/>
        <color rgb="FF333333"/>
        <rFont val="Arial"/>
        <family val="0"/>
        <charset val="1"/>
      </rPr>
      <t xml:space="preserve">Q1 (3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</si>
  <si>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</t>
    </r>
    <r>
      <rPr>
        <sz val="10"/>
        <color rgb="FF333333"/>
        <rFont val="Arial"/>
        <family val="0"/>
        <charset val="1"/>
      </rPr>
      <t xml:space="preserve">1</t>
    </r>
    <r>
      <rPr>
        <sz val="10"/>
        <color rgb="FF333333"/>
        <rFont val="DejaVu Sans"/>
        <family val="2"/>
      </rPr>
      <t xml:space="preserve">분기분</t>
    </r>
  </si>
  <si>
    <r>
      <rPr>
        <b val="true"/>
        <sz val="10"/>
        <color rgb="FF333333"/>
        <rFont val="Arial"/>
        <family val="0"/>
        <charset val="1"/>
      </rPr>
      <t xml:space="preserve">Q2 (6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</si>
  <si>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DejaVu Sans"/>
        <family val="2"/>
      </rPr>
      <t xml:space="preserve">분기분</t>
    </r>
  </si>
  <si>
    <r>
      <rPr>
        <b val="true"/>
        <sz val="10"/>
        <color rgb="FF333333"/>
        <rFont val="Arial"/>
        <family val="0"/>
        <charset val="1"/>
      </rPr>
      <t xml:space="preserve">Q3 (9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</si>
  <si>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</t>
    </r>
    <r>
      <rPr>
        <sz val="10"/>
        <color rgb="FF333333"/>
        <rFont val="Arial"/>
        <family val="0"/>
        <charset val="1"/>
      </rPr>
      <t xml:space="preserve">3</t>
    </r>
    <r>
      <rPr>
        <sz val="10"/>
        <color rgb="FF333333"/>
        <rFont val="DejaVu Sans"/>
        <family val="2"/>
      </rPr>
      <t xml:space="preserve">분기분</t>
    </r>
  </si>
  <si>
    <r>
      <rPr>
        <b val="true"/>
        <sz val="10"/>
        <color rgb="FF333333"/>
        <rFont val="Arial"/>
        <family val="0"/>
        <charset val="1"/>
      </rPr>
      <t xml:space="preserve">Q4 (12</t>
    </r>
    <r>
      <rPr>
        <b val="true"/>
        <sz val="10"/>
        <color rgb="FF333333"/>
        <rFont val="DejaVu Sans"/>
        <family val="2"/>
      </rPr>
      <t xml:space="preserve">월</t>
    </r>
    <r>
      <rPr>
        <b val="true"/>
        <sz val="10"/>
        <color rgb="FF333333"/>
        <rFont val="Arial"/>
        <family val="0"/>
        <charset val="1"/>
      </rPr>
      <t xml:space="preserve">)</t>
    </r>
  </si>
  <si>
    <r>
      <rPr>
        <sz val="10"/>
        <color rgb="FF333333"/>
        <rFont val="DejaVu Sans"/>
        <family val="2"/>
      </rPr>
      <t xml:space="preserve">영상</t>
    </r>
    <r>
      <rPr>
        <sz val="10"/>
        <color rgb="FF333333"/>
        <rFont val="Arial"/>
        <family val="0"/>
        <charset val="1"/>
      </rPr>
      <t xml:space="preserve">+</t>
    </r>
    <r>
      <rPr>
        <sz val="10"/>
        <color rgb="FF333333"/>
        <rFont val="DejaVu Sans"/>
        <family val="2"/>
      </rPr>
      <t xml:space="preserve">기획운영 </t>
    </r>
    <r>
      <rPr>
        <sz val="10"/>
        <color rgb="FF333333"/>
        <rFont val="Arial"/>
        <family val="0"/>
        <charset val="1"/>
      </rPr>
      <t xml:space="preserve">4</t>
    </r>
    <r>
      <rPr>
        <sz val="10"/>
        <color rgb="FF333333"/>
        <rFont val="DejaVu Sans"/>
        <family val="2"/>
      </rPr>
      <t xml:space="preserve">분기분</t>
    </r>
  </si>
  <si>
    <r>
      <rPr>
        <sz val="9"/>
        <color rgb="FF666666"/>
        <rFont val="DejaVu Sans"/>
        <family val="2"/>
      </rPr>
      <t xml:space="preserve">• 영상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DejaVu Sans"/>
        <family val="2"/>
      </rPr>
      <t xml:space="preserve">기획운영은 수현과 크리에이터후드에서 통합 관리합니다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</si>
  <si>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9"/>
        <color rgb="FF666666"/>
        <rFont val="DejaVu Sans"/>
        <family val="2"/>
      </rPr>
      <t xml:space="preserve">• 포토는 실제 촬영 진행 기준으로 건당 </t>
    </r>
    <r>
      <rPr>
        <sz val="9"/>
        <color rgb="FF666666"/>
        <rFont val="Arial"/>
        <family val="0"/>
        <charset val="1"/>
      </rPr>
      <t xml:space="preserve">20</t>
    </r>
    <r>
      <rPr>
        <sz val="9"/>
        <color rgb="FF666666"/>
        <rFont val="DejaVu Sans"/>
        <family val="2"/>
      </rPr>
      <t xml:space="preserve">만원 청구하며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연간 상한 </t>
    </r>
    <r>
      <rPr>
        <sz val="9"/>
        <color rgb="FF666666"/>
        <rFont val="Arial"/>
        <family val="0"/>
        <charset val="1"/>
      </rPr>
      <t xml:space="preserve">300</t>
    </r>
    <r>
      <rPr>
        <sz val="9"/>
        <color rgb="FF666666"/>
        <rFont val="DejaVu Sans"/>
        <family val="2"/>
      </rPr>
      <t xml:space="preserve">만원입니다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</si>
  <si>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9"/>
        <color rgb="FF666666"/>
        <rFont val="DejaVu Sans"/>
        <family val="2"/>
      </rPr>
      <t xml:space="preserve">• 촬영 횟수에 따라 포토 예산이 </t>
    </r>
    <r>
      <rPr>
        <sz val="9"/>
        <color rgb="FF666666"/>
        <rFont val="Arial"/>
        <family val="0"/>
        <charset val="1"/>
      </rPr>
      <t xml:space="preserve">300</t>
    </r>
    <r>
      <rPr>
        <sz val="9"/>
        <color rgb="FF666666"/>
        <rFont val="DejaVu Sans"/>
        <family val="2"/>
      </rPr>
      <t xml:space="preserve">만원 미만으로 세이브될 수 있습니다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</si>
  <si>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9"/>
        <color rgb="FF666666"/>
        <rFont val="Arial"/>
        <family val="0"/>
        <charset val="1"/>
      </rPr>
      <t xml:space="preserve">• A</t>
    </r>
    <r>
      <rPr>
        <sz val="9"/>
        <color rgb="FF666666"/>
        <rFont val="DejaVu Sans"/>
        <family val="2"/>
      </rPr>
      <t xml:space="preserve">안</t>
    </r>
    <r>
      <rPr>
        <sz val="9"/>
        <color rgb="FF666666"/>
        <rFont val="Arial"/>
        <family val="0"/>
        <charset val="1"/>
      </rPr>
      <t xml:space="preserve">/B</t>
    </r>
    <r>
      <rPr>
        <sz val="9"/>
        <color rgb="FF666666"/>
        <rFont val="DejaVu Sans"/>
        <family val="2"/>
      </rPr>
      <t xml:space="preserve">안 중 대표님 편하신 방식으로 선택해주시면 맞추겠습니다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</si>
  <si>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8"/>
        <color rgb="FFAAAAAA"/>
        <rFont val="Arial"/>
        <family val="0"/>
        <charset val="1"/>
      </rPr>
      <t xml:space="preserve">CREATORHOOD  |  </t>
    </r>
    <r>
      <rPr>
        <sz val="8"/>
        <color rgb="FFAAAAAA"/>
        <rFont val="DejaVu Sans"/>
        <family val="2"/>
      </rPr>
      <t xml:space="preserve">정수현  </t>
    </r>
    <r>
      <rPr>
        <sz val="8"/>
        <color rgb="FFAAAAAA"/>
        <rFont val="Arial"/>
        <family val="0"/>
        <charset val="1"/>
      </rPr>
      <t xml:space="preserve">|  sh.jung@teamcreatorhood.com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</si>
</sst>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원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ejaVu Sans"/>
      <family val="2"/>
    </font>
    <font>
      <sz val="9"/>
      <color rgb="FF666666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2"/>
      <color rgb="FF1A1A2E"/>
      <name val="DejaVu Sans"/>
      <family val="2"/>
    </font>
    <font>
      <b val="true"/>
      <sz val="14"/>
      <color rgb="FFE94560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333333"/>
      <name val="DejaVu Sans"/>
      <family val="2"/>
    </font>
    <font>
      <sz val="10"/>
      <color rgb="FF333333"/>
      <name val="DejaVu Sans"/>
      <family val="2"/>
    </font>
    <font>
      <sz val="10"/>
      <color rgb="FF333333"/>
      <name val="Arial"/>
      <family val="0"/>
      <charset val="1"/>
    </font>
    <font>
      <sz val="9"/>
      <color rgb="FF888888"/>
      <name val="DejaVu Sans"/>
      <family val="2"/>
    </font>
    <font>
      <b val="true"/>
      <sz val="10"/>
      <color rgb="FF333333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1A1A2E"/>
      <name val="DejaVu Sans"/>
      <family val="2"/>
    </font>
    <font>
      <b val="true"/>
      <sz val="12"/>
      <color rgb="FFE94560"/>
      <name val="Arial"/>
      <family val="0"/>
      <charset val="1"/>
    </font>
    <font>
      <b val="true"/>
      <sz val="13"/>
      <color rgb="FF1A1A2E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9"/>
      <color rgb="FF666666"/>
      <name val="DejaVu Sans"/>
      <family val="2"/>
    </font>
    <font>
      <i val="true"/>
      <sz val="9"/>
      <color rgb="FF888888"/>
      <name val="DejaVu Sans"/>
      <family val="2"/>
    </font>
    <font>
      <sz val="9"/>
      <color rgb="FF666666"/>
      <name val="Arial"/>
      <family val="0"/>
      <charset val="1"/>
    </font>
    <font>
      <sz val="8"/>
      <color rgb="FFAAAAAA"/>
      <name val="Arial"/>
      <family val="0"/>
      <charset val="1"/>
    </font>
    <font>
      <sz val="8"/>
      <color rgb="FFAAAAAA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E8E8EC"/>
        <bgColor rgb="FFF5F5F5"/>
      </patternFill>
    </fill>
    <fill>
      <patternFill patternType="solid">
        <fgColor rgb="FFE94560"/>
        <bgColor rgb="FF993366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A1A2E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medium">
        <color rgb="FF1A1A2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8E8EC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AAAAAA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"/>
  </cols>
  <sheetData>
    <row r="2" customFormat="false" ht="49.5" hidden="false" customHeight="true" outlineLevel="0" collapsed="false">
      <c r="B2" s="1" t="s">
        <v>0</v>
      </c>
      <c r="C2" s="1"/>
      <c r="D2" s="1"/>
      <c r="E2" s="1"/>
      <c r="F2" s="1"/>
    </row>
    <row r="4" customFormat="false" ht="21.75" hidden="false" customHeight="true" outlineLevel="0" collapsed="false">
      <c r="B4" s="2" t="s">
        <v>1</v>
      </c>
      <c r="C4" s="3" t="s">
        <v>2</v>
      </c>
      <c r="D4" s="3"/>
      <c r="E4" s="2" t="s">
        <v>3</v>
      </c>
      <c r="F4" s="4" t="s">
        <v>4</v>
      </c>
    </row>
    <row r="5" customFormat="false" ht="21.75" hidden="false" customHeight="true" outlineLevel="0" collapsed="false">
      <c r="B5" s="2" t="s">
        <v>5</v>
      </c>
      <c r="C5" s="5" t="s">
        <v>6</v>
      </c>
      <c r="E5" s="2" t="s">
        <v>7</v>
      </c>
      <c r="F5" s="5" t="s">
        <v>8</v>
      </c>
    </row>
    <row r="7" customFormat="false" ht="4.5" hidden="false" customHeight="true" outlineLevel="0" collapsed="false">
      <c r="B7" s="6"/>
      <c r="C7" s="6"/>
      <c r="D7" s="6"/>
      <c r="E7" s="6"/>
      <c r="F7" s="6"/>
    </row>
    <row r="9" customFormat="false" ht="27.75" hidden="false" customHeight="true" outlineLevel="0" collapsed="false">
      <c r="B9" s="7" t="s">
        <v>9</v>
      </c>
      <c r="C9" s="7"/>
      <c r="E9" s="8" t="s">
        <v>10</v>
      </c>
      <c r="F9" s="9" t="n">
        <v>16000000</v>
      </c>
    </row>
    <row r="11" customFormat="false" ht="30" hidden="false" customHeight="true" outlineLevel="0" collapsed="false">
      <c r="B11" s="10" t="s">
        <v>11</v>
      </c>
      <c r="C11" s="10" t="s">
        <v>12</v>
      </c>
      <c r="D11" s="10"/>
      <c r="E11" s="10" t="s">
        <v>13</v>
      </c>
      <c r="F11" s="10" t="s">
        <v>14</v>
      </c>
    </row>
    <row r="12" customFormat="false" ht="27.75" hidden="false" customHeight="true" outlineLevel="0" collapsed="false">
      <c r="B12" s="11" t="s">
        <v>15</v>
      </c>
      <c r="C12" s="12" t="s">
        <v>16</v>
      </c>
      <c r="D12" s="12"/>
      <c r="E12" s="13" t="n">
        <v>5000000</v>
      </c>
      <c r="F12" s="14" t="s">
        <v>17</v>
      </c>
    </row>
    <row r="13" customFormat="false" ht="27.75" hidden="false" customHeight="true" outlineLevel="0" collapsed="false">
      <c r="B13" s="15" t="s">
        <v>18</v>
      </c>
      <c r="C13" s="16" t="s">
        <v>19</v>
      </c>
      <c r="D13" s="16"/>
      <c r="E13" s="17" t="n">
        <v>8000000</v>
      </c>
      <c r="F13" s="18" t="s">
        <v>20</v>
      </c>
    </row>
    <row r="14" customFormat="false" ht="27.75" hidden="false" customHeight="true" outlineLevel="0" collapsed="false">
      <c r="B14" s="11" t="s">
        <v>21</v>
      </c>
      <c r="C14" s="12" t="s">
        <v>22</v>
      </c>
      <c r="D14" s="12"/>
      <c r="E14" s="13" t="n">
        <v>3000000</v>
      </c>
      <c r="F14" s="14" t="s">
        <v>23</v>
      </c>
    </row>
    <row r="15" customFormat="false" ht="31.5" hidden="false" customHeight="true" outlineLevel="0" collapsed="false">
      <c r="B15" s="19" t="s">
        <v>24</v>
      </c>
      <c r="C15" s="19"/>
      <c r="D15" s="19"/>
      <c r="E15" s="20" t="n">
        <f aca="false">SUM(E12:E14)</f>
        <v>16000000</v>
      </c>
      <c r="F15" s="21" t="s">
        <v>25</v>
      </c>
    </row>
    <row r="17" customFormat="false" ht="30" hidden="false" customHeight="true" outlineLevel="0" collapsed="false">
      <c r="B17" s="22" t="s">
        <v>26</v>
      </c>
      <c r="C17" s="22"/>
      <c r="D17" s="22"/>
      <c r="E17" s="22"/>
      <c r="F17" s="22"/>
    </row>
    <row r="19" customFormat="false" ht="25.5" hidden="false" customHeight="true" outlineLevel="0" collapsed="false">
      <c r="B19" s="23" t="s">
        <v>27</v>
      </c>
      <c r="C19" s="23"/>
      <c r="D19" s="23"/>
      <c r="E19" s="23"/>
      <c r="F19" s="23"/>
    </row>
    <row r="20" customFormat="false" ht="25.5" hidden="false" customHeight="true" outlineLevel="0" collapsed="false">
      <c r="B20" s="24" t="s">
        <v>28</v>
      </c>
      <c r="C20" s="24" t="s">
        <v>12</v>
      </c>
      <c r="D20" s="24"/>
      <c r="E20" s="24" t="s">
        <v>13</v>
      </c>
      <c r="F20" s="24" t="s">
        <v>29</v>
      </c>
    </row>
    <row r="21" customFormat="false" ht="25.5" hidden="false" customHeight="true" outlineLevel="0" collapsed="false">
      <c r="B21" s="11" t="s">
        <v>30</v>
      </c>
      <c r="C21" s="12" t="s">
        <v>31</v>
      </c>
      <c r="D21" s="12"/>
      <c r="E21" s="13" t="n">
        <v>5000000</v>
      </c>
      <c r="F21" s="13" t="n">
        <f aca="false">E21</f>
        <v>5000000</v>
      </c>
    </row>
    <row r="22" customFormat="false" ht="25.5" hidden="false" customHeight="true" outlineLevel="0" collapsed="false">
      <c r="B22" s="15" t="s">
        <v>32</v>
      </c>
      <c r="C22" s="16" t="s">
        <v>33</v>
      </c>
      <c r="D22" s="16"/>
      <c r="E22" s="17" t="n">
        <v>4000000</v>
      </c>
      <c r="F22" s="17" t="n">
        <f aca="false">F21+E22</f>
        <v>9000000</v>
      </c>
    </row>
    <row r="23" customFormat="false" ht="25.5" hidden="false" customHeight="true" outlineLevel="0" collapsed="false">
      <c r="B23" s="11" t="s">
        <v>34</v>
      </c>
      <c r="C23" s="12" t="s">
        <v>35</v>
      </c>
      <c r="D23" s="12"/>
      <c r="E23" s="13" t="n">
        <v>4000000</v>
      </c>
      <c r="F23" s="13" t="n">
        <f aca="false">F22+E23</f>
        <v>13000000</v>
      </c>
    </row>
    <row r="24" customFormat="false" ht="25.5" hidden="false" customHeight="true" outlineLevel="0" collapsed="false">
      <c r="B24" s="15" t="s">
        <v>36</v>
      </c>
      <c r="C24" s="16" t="s">
        <v>37</v>
      </c>
      <c r="D24" s="16"/>
      <c r="E24" s="25" t="s">
        <v>38</v>
      </c>
      <c r="F24" s="26" t="s">
        <v>39</v>
      </c>
    </row>
    <row r="26" customFormat="false" ht="25.5" hidden="false" customHeight="true" outlineLevel="0" collapsed="false">
      <c r="B26" s="27" t="s">
        <v>40</v>
      </c>
      <c r="C26" s="27"/>
      <c r="D26" s="27"/>
      <c r="E26" s="27"/>
      <c r="F26" s="27"/>
    </row>
    <row r="27" customFormat="false" ht="25.5" hidden="false" customHeight="true" outlineLevel="0" collapsed="false">
      <c r="B27" s="24" t="s">
        <v>28</v>
      </c>
      <c r="C27" s="24" t="s">
        <v>12</v>
      </c>
      <c r="D27" s="24"/>
      <c r="E27" s="24" t="s">
        <v>13</v>
      </c>
      <c r="F27" s="24" t="s">
        <v>29</v>
      </c>
    </row>
    <row r="28" customFormat="false" ht="25.5" hidden="false" customHeight="true" outlineLevel="0" collapsed="false">
      <c r="B28" s="11" t="s">
        <v>30</v>
      </c>
      <c r="C28" s="12" t="s">
        <v>31</v>
      </c>
      <c r="D28" s="12"/>
      <c r="E28" s="13" t="n">
        <v>5000000</v>
      </c>
      <c r="F28" s="13" t="n">
        <f aca="false">E28</f>
        <v>5000000</v>
      </c>
    </row>
    <row r="29" customFormat="false" ht="25.5" hidden="false" customHeight="true" outlineLevel="0" collapsed="false">
      <c r="B29" s="28" t="s">
        <v>41</v>
      </c>
      <c r="C29" s="16" t="s">
        <v>42</v>
      </c>
      <c r="D29" s="16"/>
      <c r="E29" s="17" t="n">
        <v>2000000</v>
      </c>
      <c r="F29" s="17" t="n">
        <f aca="false">F28+E29</f>
        <v>7000000</v>
      </c>
    </row>
    <row r="30" customFormat="false" ht="25.5" hidden="false" customHeight="true" outlineLevel="0" collapsed="false">
      <c r="B30" s="29" t="s">
        <v>43</v>
      </c>
      <c r="C30" s="12" t="s">
        <v>44</v>
      </c>
      <c r="D30" s="12"/>
      <c r="E30" s="13" t="n">
        <v>2000000</v>
      </c>
      <c r="F30" s="13" t="n">
        <f aca="false">F29+E30</f>
        <v>9000000</v>
      </c>
    </row>
    <row r="31" customFormat="false" ht="25.5" hidden="false" customHeight="true" outlineLevel="0" collapsed="false">
      <c r="B31" s="28" t="s">
        <v>45</v>
      </c>
      <c r="C31" s="16" t="s">
        <v>46</v>
      </c>
      <c r="D31" s="16"/>
      <c r="E31" s="17" t="n">
        <v>2000000</v>
      </c>
      <c r="F31" s="17" t="n">
        <f aca="false">F30+E31</f>
        <v>11000000</v>
      </c>
    </row>
    <row r="32" customFormat="false" ht="25.5" hidden="false" customHeight="true" outlineLevel="0" collapsed="false">
      <c r="B32" s="29" t="s">
        <v>47</v>
      </c>
      <c r="C32" s="12" t="s">
        <v>48</v>
      </c>
      <c r="D32" s="12"/>
      <c r="E32" s="13" t="n">
        <v>2000000</v>
      </c>
      <c r="F32" s="13" t="n">
        <f aca="false">F31+E32</f>
        <v>13000000</v>
      </c>
    </row>
    <row r="33" customFormat="false" ht="25.5" hidden="false" customHeight="true" outlineLevel="0" collapsed="false">
      <c r="B33" s="15" t="s">
        <v>36</v>
      </c>
      <c r="C33" s="16" t="s">
        <v>37</v>
      </c>
      <c r="D33" s="16"/>
      <c r="E33" s="25" t="s">
        <v>38</v>
      </c>
      <c r="F33" s="26" t="s">
        <v>39</v>
      </c>
    </row>
    <row r="35" customFormat="false" ht="7.5" hidden="false" customHeight="true" outlineLevel="0" collapsed="false"/>
    <row r="36" customFormat="false" ht="4.5" hidden="false" customHeight="true" outlineLevel="0" collapsed="false">
      <c r="B36" s="30"/>
      <c r="C36" s="30"/>
      <c r="D36" s="30"/>
      <c r="E36" s="30"/>
      <c r="F36" s="30"/>
    </row>
    <row r="37" customFormat="false" ht="21.75" hidden="false" customHeight="true" outlineLevel="0" collapsed="false">
      <c r="B37" s="31" t="s">
        <v>14</v>
      </c>
      <c r="C37" s="31"/>
      <c r="D37" s="31"/>
      <c r="E37" s="31"/>
      <c r="F37" s="31"/>
    </row>
    <row r="38" customFormat="false" ht="19.5" hidden="false" customHeight="true" outlineLevel="0" collapsed="false">
      <c r="B38" s="32" t="s">
        <v>49</v>
      </c>
      <c r="C38" s="32"/>
      <c r="D38" s="32"/>
      <c r="E38" s="32"/>
      <c r="F38" s="32"/>
    </row>
    <row r="39" customFormat="false" ht="19.5" hidden="false" customHeight="true" outlineLevel="0" collapsed="false">
      <c r="B39" s="32" t="s">
        <v>50</v>
      </c>
      <c r="C39" s="32"/>
      <c r="D39" s="32"/>
      <c r="E39" s="32"/>
      <c r="F39" s="32"/>
    </row>
    <row r="40" customFormat="false" ht="19.5" hidden="false" customHeight="true" outlineLevel="0" collapsed="false">
      <c r="B40" s="32" t="s">
        <v>51</v>
      </c>
      <c r="C40" s="32"/>
      <c r="D40" s="32"/>
      <c r="E40" s="32"/>
      <c r="F40" s="32"/>
    </row>
    <row r="41" customFormat="false" ht="19.5" hidden="false" customHeight="true" outlineLevel="0" collapsed="false">
      <c r="B41" s="33" t="s">
        <v>52</v>
      </c>
      <c r="C41" s="33"/>
      <c r="D41" s="33"/>
      <c r="E41" s="33"/>
      <c r="F41" s="33"/>
    </row>
    <row r="43" customFormat="false" ht="21.75" hidden="false" customHeight="true" outlineLevel="0" collapsed="false">
      <c r="B43" s="34" t="s">
        <v>53</v>
      </c>
      <c r="C43" s="34"/>
      <c r="D43" s="34"/>
      <c r="E43" s="34"/>
      <c r="F43" s="34"/>
    </row>
  </sheetData>
  <mergeCells count="29">
    <mergeCell ref="B2:F2"/>
    <mergeCell ref="C4:D4"/>
    <mergeCell ref="B9:C9"/>
    <mergeCell ref="C11:D11"/>
    <mergeCell ref="C12:D12"/>
    <mergeCell ref="C13:D13"/>
    <mergeCell ref="C14:D14"/>
    <mergeCell ref="B15:D15"/>
    <mergeCell ref="B17:F17"/>
    <mergeCell ref="B19:F19"/>
    <mergeCell ref="C20:D20"/>
    <mergeCell ref="C21:D21"/>
    <mergeCell ref="C22:D22"/>
    <mergeCell ref="C23:D23"/>
    <mergeCell ref="C24:D24"/>
    <mergeCell ref="B26:F26"/>
    <mergeCell ref="C27:D27"/>
    <mergeCell ref="C28:D28"/>
    <mergeCell ref="C29:D29"/>
    <mergeCell ref="C30:D30"/>
    <mergeCell ref="C31:D31"/>
    <mergeCell ref="C32:D32"/>
    <mergeCell ref="C33:D33"/>
    <mergeCell ref="B37:F37"/>
    <mergeCell ref="B38:F38"/>
    <mergeCell ref="B39:F39"/>
    <mergeCell ref="B40:F40"/>
    <mergeCell ref="B41:F41"/>
    <mergeCell ref="B43:F4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2026-02-23T08:39:59Z</dcterms:created>
  <dc:creator>openpyxl</dc:creator>
  <dc:description/>
  <dc:language>en-US</dc:language>
  <cp:lastModifiedBy/>
  <dcterms:modified xsi:type="dcterms:W3CDTF">2026-02-23T08:39:59Z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