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년 상반기 예산안" sheetId="1" r:id="rId4"/>
    <sheet state="visible" name="콘텐츠별세부단가" sheetId="2" r:id="rId5"/>
    <sheet state="visible" name="(InactivE) 월간비용총괄" sheetId="3" r:id="rId6"/>
  </sheets>
  <definedNames/>
  <calcPr/>
  <extLst>
    <ext uri="GoogleSheetsCustomDataVersion2">
      <go:sheetsCustomData xmlns:go="http://customooxmlschemas.google.com/" r:id="rId7" roundtripDataChecksum="I/ILecmhthtvJSctRdCbGjiGQTsuqBdHIg0IsaKpD7Y="/>
    </ext>
  </extLst>
</workbook>
</file>

<file path=xl/sharedStrings.xml><?xml version="1.0" encoding="utf-8"?>
<sst xmlns="http://schemas.openxmlformats.org/spreadsheetml/2006/main" count="288" uniqueCount="180">
  <si>
    <t>■ 26년도 운영예산안 _ (보고 : 20251218)</t>
  </si>
  <si>
    <t>구분</t>
  </si>
  <si>
    <t>콘텐츠</t>
  </si>
  <si>
    <t>상세</t>
  </si>
  <si>
    <t>수량</t>
  </si>
  <si>
    <t>단위</t>
  </si>
  <si>
    <t>횟수</t>
  </si>
  <si>
    <t>단가</t>
  </si>
  <si>
    <t>금액</t>
  </si>
  <si>
    <t>비고</t>
  </si>
  <si>
    <t>최초 
1회 청구</t>
  </si>
  <si>
    <t>1월 사전세팅</t>
  </si>
  <si>
    <t>사전기획비</t>
  </si>
  <si>
    <t>Series</t>
  </si>
  <si>
    <t>회</t>
  </si>
  <si>
    <t/>
  </si>
  <si>
    <t>디자인 제작비</t>
  </si>
  <si>
    <t>건</t>
  </si>
  <si>
    <t>*1월 사전세팅 단계에서, 최초 1회만 청구</t>
  </si>
  <si>
    <t>SUM</t>
  </si>
  <si>
    <t>정기 콘텐츠 / 월 기준</t>
  </si>
  <si>
    <t>-. 비정기 콘텐츠의 경우, 월 1건을 기본으로 비용 산정
-. 해당 월 미진행시 제작수량 이월</t>
  </si>
  <si>
    <t>정기
콘텐츠</t>
  </si>
  <si>
    <r>
      <rPr>
        <rFont val="Noto Sans"/>
        <b/>
        <color theme="1"/>
        <sz val="11.0"/>
      </rPr>
      <t xml:space="preserve">고객인터뷰형 </t>
    </r>
    <r>
      <rPr>
        <rFont val="Noto Sans"/>
        <color theme="1"/>
        <sz val="11.0"/>
      </rPr>
      <t xml:space="preserve">
(*순당포착)
[구성]
캐러셀1+숏폼2</t>
    </r>
  </si>
  <si>
    <t>기획</t>
  </si>
  <si>
    <t>인물 기획, 질문지 구성</t>
  </si>
  <si>
    <t>섭외/로케이션</t>
  </si>
  <si>
    <t>출연자 섭외, 장소 헌팅</t>
  </si>
  <si>
    <t>촬영 (화보+인터뷰)</t>
  </si>
  <si>
    <t>set</t>
  </si>
  <si>
    <t>스틸컷+영상 동시 촬영</t>
  </si>
  <si>
    <t>사진보정</t>
  </si>
  <si>
    <t>이미지</t>
  </si>
  <si>
    <t>인물 당, 화보이미지 3장 (*이미지 추가 보정 시, 비용 별도 협의)</t>
  </si>
  <si>
    <t>영상 편집</t>
  </si>
  <si>
    <t>숏폼</t>
  </si>
  <si>
    <t>숏폼 2건 (#1 라이프스타일 30'' / #2 인터뷰 50'')</t>
  </si>
  <si>
    <t>소계 ①</t>
  </si>
  <si>
    <r>
      <rPr>
        <rFont val="Arial"/>
        <b/>
        <color theme="1"/>
        <sz val="11.0"/>
      </rPr>
      <t xml:space="preserve">먹방토크형 </t>
    </r>
    <r>
      <rPr>
        <rFont val="Arial"/>
        <color theme="1"/>
        <sz val="11.0"/>
      </rPr>
      <t xml:space="preserve">
(*취하지아니한가)
[구성] 숏폼3</t>
    </r>
  </si>
  <si>
    <t>내용 관련 정보 스터디, 질문지 구성</t>
  </si>
  <si>
    <t>인물 출연료</t>
  </si>
  <si>
    <t>인</t>
  </si>
  <si>
    <t>*평균가, 호스트(외국인,고정) ↔ 게스트(시리즈 별 교체)</t>
  </si>
  <si>
    <t>촬영</t>
  </si>
  <si>
    <t>소계 ②</t>
  </si>
  <si>
    <r>
      <rPr>
        <rFont val="Noto Sans"/>
        <b/>
        <color theme="1"/>
        <sz val="11.0"/>
      </rPr>
      <t xml:space="preserve">TPO공감형
</t>
    </r>
    <r>
      <rPr>
        <rFont val="Noto Sans"/>
        <color theme="1"/>
        <sz val="11.0"/>
      </rPr>
      <t>(*1막1장)
[구성] 숏폼2</t>
    </r>
  </si>
  <si>
    <t>컨셉 구성, 시놉시스 구성</t>
  </si>
  <si>
    <t>소계 ③</t>
  </si>
  <si>
    <t>비정기
콘텐츠</t>
  </si>
  <si>
    <t>AI 스터디</t>
  </si>
  <si>
    <t>기획 / 프롬프트 지원</t>
  </si>
  <si>
    <t>AI작업툴 스터디, 컨셉 기획, 프롬프트 설계</t>
  </si>
  <si>
    <t>AI 제작 지원</t>
  </si>
  <si>
    <t>이미지 Upscale 및 후보정 (*영상 10초 이상 분량, 비용 별도 협의)</t>
  </si>
  <si>
    <t>소계 ④</t>
  </si>
  <si>
    <t>홍보/이벤트</t>
  </si>
  <si>
    <t>기획 및 소재제작</t>
  </si>
  <si>
    <t>이미지 2장 기준 (*초과 분량 별도 협의)</t>
  </si>
  <si>
    <t>이벤트 운영 지원</t>
  </si>
  <si>
    <t>당첨자 선정, 경품 발송 등 업무 지원 (*경품비 별도)</t>
  </si>
  <si>
    <t>채널 운영 및 콘텐츠 업로드 지원</t>
  </si>
  <si>
    <t>최종 합계</t>
  </si>
  <si>
    <t>*만 단위 절삭</t>
  </si>
  <si>
    <t>비정기 콘텐츠 상세 견적</t>
  </si>
  <si>
    <t xml:space="preserve">-. 비정기콘텐츠 / 초과 분에 대한 비용가이드 </t>
  </si>
  <si>
    <t>컨셉 기획, 프롬프트 설계</t>
  </si>
  <si>
    <t xml:space="preserve"> AI 제작 지원 [이미지]</t>
  </si>
  <si>
    <t>이미지 Upscale, 후보정</t>
  </si>
  <si>
    <t>AI 제작/편집 지원 [영상 10초↓]</t>
  </si>
  <si>
    <t>영상 Upscale</t>
  </si>
  <si>
    <t>AI 제작/편집 지원 [영상 10초↑]</t>
  </si>
  <si>
    <t>-</t>
  </si>
  <si>
    <t>*내용에 따라 별도 협의</t>
  </si>
  <si>
    <t>홍보/이벤트 기획</t>
  </si>
  <si>
    <t>소재 제작 [이미지]</t>
  </si>
  <si>
    <t>이미지(캐러셀) 소재제작</t>
  </si>
  <si>
    <t>소재 제작 [영상]</t>
  </si>
  <si>
    <t>영상(릴스)형 콘텐츠 제작</t>
  </si>
  <si>
    <r>
      <rPr>
        <rFont val="Cambria"/>
        <b/>
        <color theme="1"/>
        <sz val="14.0"/>
      </rPr>
      <t>2026</t>
    </r>
    <r>
      <rPr>
        <rFont val="Noto Sans CJK SC"/>
        <b/>
        <color theme="1"/>
        <sz val="14.0"/>
      </rPr>
      <t>년 국순당 콘텐츠별 세부 단가표</t>
    </r>
  </si>
  <si>
    <r>
      <rPr>
        <rFont val="Cambria"/>
        <b/>
        <color rgb="FF4472C4"/>
        <sz val="12.0"/>
      </rPr>
      <t xml:space="preserve">1. </t>
    </r>
    <r>
      <rPr>
        <rFont val="Noto Sans CJK SC"/>
        <b/>
        <color rgb="FF4472C4"/>
        <sz val="12.0"/>
      </rPr>
      <t xml:space="preserve">막걸리 </t>
    </r>
    <r>
      <rPr>
        <rFont val="Cambria"/>
        <b/>
        <color rgb="FF4472C4"/>
        <sz val="12.0"/>
      </rPr>
      <t xml:space="preserve">AI (MAi) — </t>
    </r>
    <r>
      <rPr>
        <rFont val="Noto Sans CJK SC"/>
        <b/>
        <color rgb="FF4472C4"/>
        <sz val="12.0"/>
      </rPr>
      <t xml:space="preserve">편당 </t>
    </r>
    <r>
      <rPr>
        <rFont val="Cambria"/>
        <b/>
        <color rgb="FF4472C4"/>
        <sz val="12.0"/>
      </rPr>
      <t>500,000</t>
    </r>
    <r>
      <rPr>
        <rFont val="Noto Sans CJK SC"/>
        <b/>
        <color rgb="FF4472C4"/>
        <sz val="12.0"/>
      </rPr>
      <t>원</t>
    </r>
  </si>
  <si>
    <t>항목</t>
  </si>
  <si>
    <r>
      <rPr>
        <rFont val="Calibri"/>
        <color theme="1"/>
        <sz val="11.0"/>
      </rPr>
      <t xml:space="preserve">AI </t>
    </r>
    <r>
      <rPr>
        <rFont val="Noto Sans CJK SC"/>
        <color theme="1"/>
        <sz val="11.0"/>
      </rPr>
      <t>기획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프롬프트</t>
    </r>
  </si>
  <si>
    <r>
      <rPr>
        <rFont val="Noto Sans CJK SC"/>
        <color theme="1"/>
        <sz val="11.0"/>
      </rPr>
      <t>컨셉 기획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프롬프트 설계</t>
    </r>
  </si>
  <si>
    <r>
      <rPr>
        <rFont val="Calibri"/>
        <color theme="1"/>
        <sz val="11.0"/>
      </rPr>
      <t xml:space="preserve">AI </t>
    </r>
    <r>
      <rPr>
        <rFont val="Noto Sans CJK SC"/>
        <color theme="1"/>
        <sz val="11.0"/>
      </rPr>
      <t>제작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편집</t>
    </r>
  </si>
  <si>
    <r>
      <rPr>
        <rFont val="Noto Sans CJK SC"/>
        <color theme="1"/>
        <sz val="11.0"/>
      </rPr>
      <t>이미지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모션 생성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후보정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자막</t>
    </r>
  </si>
  <si>
    <t>편당 합계</t>
  </si>
  <si>
    <r>
      <rPr>
        <rFont val="Noto Sans CJK SC"/>
        <b/>
        <color theme="1"/>
        <sz val="11.0"/>
      </rPr>
      <t xml:space="preserve">월 소계 </t>
    </r>
    <r>
      <rPr>
        <rFont val="Calibri"/>
        <b/>
        <color theme="1"/>
        <sz val="11.0"/>
      </rPr>
      <t>(2</t>
    </r>
    <r>
      <rPr>
        <rFont val="Noto Sans CJK SC"/>
        <b/>
        <color theme="1"/>
        <sz val="11.0"/>
      </rPr>
      <t>회</t>
    </r>
    <r>
      <rPr>
        <rFont val="Calibri"/>
        <b/>
        <color theme="1"/>
        <sz val="11.0"/>
      </rPr>
      <t>)</t>
    </r>
  </si>
  <si>
    <r>
      <rPr>
        <rFont val="Noto Sans CJK SC"/>
        <color theme="1"/>
        <sz val="11.0"/>
      </rPr>
      <t xml:space="preserve">이미지 </t>
    </r>
    <r>
      <rPr>
        <rFont val="Calibri"/>
        <color theme="1"/>
        <sz val="11.0"/>
      </rPr>
      <t xml:space="preserve">1 + </t>
    </r>
    <r>
      <rPr>
        <rFont val="Noto Sans CJK SC"/>
        <color theme="1"/>
        <sz val="11.0"/>
      </rPr>
      <t xml:space="preserve">숏츠 </t>
    </r>
    <r>
      <rPr>
        <rFont val="Calibri"/>
        <color theme="1"/>
        <sz val="11.0"/>
      </rPr>
      <t>1</t>
    </r>
  </si>
  <si>
    <r>
      <rPr>
        <rFont val="Cambria"/>
        <b/>
        <color rgb="FF4472C4"/>
        <sz val="12.0"/>
      </rPr>
      <t xml:space="preserve">2. </t>
    </r>
    <r>
      <rPr>
        <rFont val="Arial"/>
        <b/>
        <color rgb="FF4472C4"/>
        <sz val="12.0"/>
      </rPr>
      <t xml:space="preserve">순당포착 — 월 </t>
    </r>
    <r>
      <rPr>
        <rFont val="Cambria"/>
        <b/>
        <color rgb="FF4472C4"/>
        <sz val="12.0"/>
      </rPr>
      <t>1</t>
    </r>
    <r>
      <rPr>
        <rFont val="Arial"/>
        <b/>
        <color rgb="FF4472C4"/>
        <sz val="12.0"/>
      </rPr>
      <t xml:space="preserve">회 촬영 턴키 </t>
    </r>
    <r>
      <rPr>
        <rFont val="Cambria"/>
        <b/>
        <color rgb="FF4472C4"/>
        <sz val="12.0"/>
      </rPr>
      <t>2,100,000</t>
    </r>
    <r>
      <rPr>
        <rFont val="Arial"/>
        <b/>
        <color rgb="FF4472C4"/>
        <sz val="12.0"/>
      </rPr>
      <t xml:space="preserve">원 </t>
    </r>
    <r>
      <rPr>
        <rFont val="Cambria"/>
        <b/>
        <color rgb="FF4472C4"/>
        <sz val="12.0"/>
      </rPr>
      <t>(3</t>
    </r>
    <r>
      <rPr>
        <rFont val="Arial"/>
        <b/>
        <color rgb="FF4472C4"/>
        <sz val="12.0"/>
      </rPr>
      <t>개 콘텐츠</t>
    </r>
    <r>
      <rPr>
        <rFont val="Cambria"/>
        <b/>
        <color rgb="FF4472C4"/>
        <sz val="12.0"/>
      </rPr>
      <t>)</t>
    </r>
  </si>
  <si>
    <t>답사 및 촬영 기획</t>
  </si>
  <si>
    <r>
      <rPr>
        <rFont val="Noto Sans CJK SC"/>
        <color theme="1"/>
        <sz val="11.0"/>
      </rPr>
      <t>인물 기획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질문지 구성</t>
    </r>
  </si>
  <si>
    <t>사전 기획 (인터뷰)</t>
  </si>
  <si>
    <r>
      <rPr>
        <rFont val="Noto Sans CJK SC"/>
        <color theme="1"/>
        <sz val="11.0"/>
      </rPr>
      <t>출연자 섭외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장소 헌팅</t>
    </r>
  </si>
  <si>
    <r>
      <rPr>
        <rFont val="Noto Sans CJK SC"/>
        <color theme="1"/>
        <sz val="11.0"/>
      </rPr>
      <t xml:space="preserve">촬영 </t>
    </r>
    <r>
      <rPr>
        <rFont val="Calibri"/>
        <color theme="1"/>
        <sz val="11.0"/>
      </rPr>
      <t>(</t>
    </r>
    <r>
      <rPr>
        <rFont val="Noto Sans CJK SC"/>
        <color theme="1"/>
        <sz val="11.0"/>
      </rPr>
      <t>인물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인터뷰</t>
    </r>
    <r>
      <rPr>
        <rFont val="Calibri"/>
        <color theme="1"/>
        <sz val="11.0"/>
      </rPr>
      <t>)</t>
    </r>
  </si>
  <si>
    <r>
      <rPr>
        <rFont val="Noto Sans CJK SC"/>
        <color theme="1"/>
        <sz val="11.0"/>
      </rPr>
      <t>스틸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영상 동시 촬영</t>
    </r>
    <r>
      <rPr>
        <rFont val="Calibri"/>
        <color theme="1"/>
        <sz val="11.0"/>
      </rPr>
      <t>, 2</t>
    </r>
    <r>
      <rPr>
        <rFont val="Noto Sans CJK SC"/>
        <color theme="1"/>
        <sz val="11.0"/>
      </rPr>
      <t>인 투입</t>
    </r>
  </si>
  <si>
    <t>사진 보정</t>
  </si>
  <si>
    <r>
      <rPr>
        <rFont val="Arial"/>
        <color theme="1"/>
        <sz val="11.0"/>
      </rPr>
      <t xml:space="preserve">피드용 화보 컷 </t>
    </r>
    <r>
      <rPr>
        <rFont val="Calibri"/>
        <color theme="1"/>
        <sz val="11.0"/>
      </rPr>
      <t>2~3</t>
    </r>
    <r>
      <rPr>
        <rFont val="Arial"/>
        <color theme="1"/>
        <sz val="11.0"/>
      </rPr>
      <t>장 보정</t>
    </r>
  </si>
  <si>
    <r>
      <rPr>
        <rFont val="Arial"/>
        <color theme="1"/>
        <sz val="11.0"/>
      </rPr>
      <t xml:space="preserve">인터뷰 숏폼 </t>
    </r>
    <r>
      <rPr>
        <rFont val="Calibri"/>
        <color theme="1"/>
        <sz val="11.0"/>
      </rPr>
      <t>1</t>
    </r>
    <r>
      <rPr>
        <rFont val="Arial"/>
        <color theme="1"/>
        <sz val="11.0"/>
      </rPr>
      <t>편 (50) / 스토리콘텐츠 1편 (30)</t>
    </r>
  </si>
  <si>
    <r>
      <rPr>
        <rFont val="Noto Sans CJK SC"/>
        <b/>
        <color theme="1"/>
        <sz val="11.0"/>
      </rPr>
      <t xml:space="preserve">월 소계 </t>
    </r>
    <r>
      <rPr>
        <rFont val="Cambria"/>
        <b/>
        <color theme="1"/>
        <sz val="11.0"/>
      </rPr>
      <t>(3</t>
    </r>
    <r>
      <rPr>
        <rFont val="Noto Sans CJK SC"/>
        <b/>
        <color theme="1"/>
        <sz val="11.0"/>
      </rPr>
      <t>회</t>
    </r>
    <r>
      <rPr>
        <rFont val="Cambria"/>
        <b/>
        <color theme="1"/>
        <sz val="11.0"/>
      </rPr>
      <t>)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</si>
  <si>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 xml:space="preserve">촬영 → </t>
    </r>
    <r>
      <rPr>
        <rFont val="Calibri"/>
        <color theme="1"/>
        <sz val="11.0"/>
      </rPr>
      <t>3</t>
    </r>
    <r>
      <rPr>
        <rFont val="Arial"/>
        <color theme="1"/>
        <sz val="11.0"/>
      </rPr>
      <t>콘텐츠(이미지형1+영상형2) 세트</t>
    </r>
  </si>
  <si>
    <r>
      <rPr>
        <rFont val="Noto Sans CJK SC"/>
        <i/>
        <color rgb="FF808080"/>
        <sz val="11.0"/>
      </rPr>
      <t>※ 콘텐츠 분리 불가</t>
    </r>
    <r>
      <rPr>
        <rFont val="Cambria"/>
        <i/>
        <color rgb="FF808080"/>
        <sz val="11.0"/>
      </rPr>
      <t xml:space="preserve">, </t>
    </r>
    <r>
      <rPr>
        <rFont val="Noto Sans CJK SC"/>
        <i/>
        <color rgb="FF808080"/>
        <sz val="11.0"/>
      </rPr>
      <t>세트 턴키로 산정</t>
    </r>
  </si>
  <si>
    <r>
      <rPr>
        <rFont val="Cambria"/>
        <b/>
        <color rgb="FF4472C4"/>
        <sz val="12.0"/>
      </rPr>
      <t xml:space="preserve">3. </t>
    </r>
    <r>
      <rPr>
        <rFont val="Arial"/>
        <b/>
        <color rgb="FF4472C4"/>
        <sz val="12.0"/>
      </rPr>
      <t xml:space="preserve">막시 </t>
    </r>
    <r>
      <rPr>
        <rFont val="Cambria"/>
        <b/>
        <color rgb="FF4472C4"/>
        <sz val="12.0"/>
      </rPr>
      <t xml:space="preserve">+ </t>
    </r>
    <r>
      <rPr>
        <rFont val="Arial"/>
        <b/>
        <color rgb="FF4472C4"/>
        <sz val="12.0"/>
      </rPr>
      <t xml:space="preserve">먹방 — 촬영 </t>
    </r>
    <r>
      <rPr>
        <rFont val="Cambria"/>
        <b/>
        <color rgb="FF4472C4"/>
        <sz val="12.0"/>
      </rPr>
      <t>1</t>
    </r>
    <r>
      <rPr>
        <rFont val="Arial"/>
        <b/>
        <color rgb="FF4472C4"/>
        <sz val="12.0"/>
      </rPr>
      <t xml:space="preserve">회당 </t>
    </r>
    <r>
      <rPr>
        <rFont val="Cambria"/>
        <b/>
        <color rgb="FF4472C4"/>
        <sz val="12.0"/>
      </rPr>
      <t>2,200,000</t>
    </r>
    <r>
      <rPr>
        <rFont val="Arial"/>
        <b/>
        <color rgb="FF4472C4"/>
        <sz val="12.0"/>
      </rPr>
      <t xml:space="preserve">원 </t>
    </r>
    <r>
      <rPr>
        <rFont val="Cambria"/>
        <b/>
        <color rgb="FF4472C4"/>
        <sz val="12.0"/>
      </rPr>
      <t>(2~3</t>
    </r>
    <r>
      <rPr>
        <rFont val="Arial"/>
        <b/>
        <color rgb="FF4472C4"/>
        <sz val="12.0"/>
      </rPr>
      <t>개 콘텐츠</t>
    </r>
    <r>
      <rPr>
        <rFont val="Cambria"/>
        <b/>
        <color rgb="FF4472C4"/>
        <sz val="12.0"/>
      </rPr>
      <t>)</t>
    </r>
  </si>
  <si>
    <t>*연속된 콘텐츠는 아님.</t>
  </si>
  <si>
    <t>출연료</t>
  </si>
  <si>
    <r>
      <rPr>
        <rFont val="Noto Sans"/>
        <color theme="1"/>
        <sz val="11.0"/>
      </rPr>
      <t xml:space="preserve">출연자 또는 협찬 조율 
월 2회 촬영 기준
</t>
    </r>
    <r>
      <rPr>
        <rFont val="Noto Sans"/>
        <i/>
        <color theme="1"/>
        <sz val="10.0"/>
      </rPr>
      <t xml:space="preserve">*기본적으로는 막시 1회 / 막먹 1회 촬영 
</t>
    </r>
    <r>
      <rPr>
        <rFont val="Noto Sans"/>
        <color theme="1"/>
        <sz val="10.0"/>
      </rPr>
      <t xml:space="preserve">*각 콘텐츠 당 [4h*시간당 ₩30,000] 
</t>
    </r>
    <r>
      <rPr>
        <rFont val="Noto Sans"/>
        <i/>
        <color theme="1"/>
        <sz val="10.0"/>
      </rPr>
      <t>*회당 2~3개 콘텐츠분 촬영 기준 ₩120,000*2.5개*2회=₩600,000 예상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</si>
  <si>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 xml:space="preserve">회 촬영 시 → </t>
    </r>
    <r>
      <rPr>
        <rFont val="Calibri"/>
        <color theme="1"/>
        <sz val="11.0"/>
      </rPr>
      <t>2~3</t>
    </r>
    <r>
      <rPr>
        <rFont val="Arial"/>
        <color theme="1"/>
        <sz val="11.0"/>
      </rPr>
      <t xml:space="preserve">개 콘텐츠분 촬영 
</t>
    </r>
    <r>
      <rPr>
        <rFont val="Calibri"/>
        <i/>
        <color theme="1"/>
        <sz val="10.0"/>
      </rPr>
      <t>*연속된 콘텐츠는 아님.</t>
    </r>
  </si>
  <si>
    <r>
      <rPr>
        <rFont val="Noto Sans CJK SC"/>
        <color theme="1"/>
        <sz val="11.0"/>
      </rPr>
      <t xml:space="preserve">편집 </t>
    </r>
    <r>
      <rPr>
        <rFont val="Calibri"/>
        <color theme="1"/>
        <sz val="11.0"/>
      </rPr>
      <t>(3</t>
    </r>
    <r>
      <rPr>
        <rFont val="Noto Sans CJK SC"/>
        <color theme="1"/>
        <sz val="11.0"/>
      </rPr>
      <t>편</t>
    </r>
    <r>
      <rPr>
        <rFont val="Calibri"/>
        <color theme="1"/>
        <sz val="11.0"/>
      </rPr>
      <t>)</t>
    </r>
  </si>
  <si>
    <r>
      <rPr>
        <rFont val="Arial"/>
        <color theme="1"/>
        <sz val="11.0"/>
      </rPr>
      <t xml:space="preserve">편당 약 </t>
    </r>
    <r>
      <rPr>
        <rFont val="Calibri"/>
        <color theme="1"/>
        <sz val="11.0"/>
      </rPr>
      <t>266,667</t>
    </r>
    <r>
      <rPr>
        <rFont val="Arial"/>
        <color theme="1"/>
        <sz val="11.0"/>
      </rPr>
      <t xml:space="preserve">원 </t>
    </r>
    <r>
      <rPr>
        <rFont val="Calibri"/>
        <color theme="1"/>
        <sz val="11.0"/>
      </rPr>
      <t>(</t>
    </r>
    <r>
      <rPr>
        <rFont val="Arial"/>
        <color theme="1"/>
        <sz val="11.0"/>
      </rPr>
      <t>세트 할인 적용</t>
    </r>
    <r>
      <rPr>
        <rFont val="Calibri"/>
        <color theme="1"/>
        <sz val="11.0"/>
      </rPr>
      <t xml:space="preserve">) 
</t>
    </r>
    <r>
      <rPr>
        <rFont val="Noto Sans"/>
        <i/>
        <color theme="1"/>
        <sz val="10.0"/>
      </rPr>
      <t>*별도 제작 시 하단 개별요청 편집비 기준표 참조</t>
    </r>
  </si>
  <si>
    <r>
      <rPr>
        <rFont val="Noto Sans CJK SC"/>
        <b/>
        <color theme="1"/>
        <sz val="11.0"/>
      </rPr>
      <t xml:space="preserve">촬영 </t>
    </r>
    <r>
      <rPr>
        <rFont val="Cambria"/>
        <b/>
        <color theme="1"/>
        <sz val="11.0"/>
      </rPr>
      <t>1</t>
    </r>
    <r>
      <rPr>
        <rFont val="Noto Sans CJK SC"/>
        <b/>
        <color theme="1"/>
        <sz val="11.0"/>
      </rPr>
      <t>회 소계</t>
    </r>
  </si>
  <si>
    <r>
      <rPr>
        <rFont val="Calibri"/>
        <color theme="1"/>
        <sz val="11.0"/>
      </rPr>
      <t xml:space="preserve">1회 촬영 당 2~3개 콘텐츠 
</t>
    </r>
    <r>
      <rPr>
        <rFont val="Calibri"/>
        <i/>
        <color theme="1"/>
        <sz val="10.0"/>
      </rPr>
      <t>*편당 섭외비 제외 약 평균 700,000원의 예상단가</t>
    </r>
  </si>
  <si>
    <r>
      <rPr>
        <rFont val="Noto Sans CJK SC"/>
        <b/>
        <color theme="1"/>
        <sz val="11.0"/>
      </rPr>
      <t xml:space="preserve">월 소계 </t>
    </r>
    <r>
      <rPr>
        <rFont val="Cambria"/>
        <b/>
        <color theme="1"/>
        <sz val="11.0"/>
      </rPr>
      <t>(2</t>
    </r>
    <r>
      <rPr>
        <rFont val="Noto Sans CJK SC"/>
        <b/>
        <color theme="1"/>
        <sz val="11.0"/>
      </rPr>
      <t>회 촬영</t>
    </r>
    <r>
      <rPr>
        <rFont val="Cambria"/>
        <b/>
        <color theme="1"/>
        <sz val="11.0"/>
      </rPr>
      <t>)</t>
    </r>
  </si>
  <si>
    <r>
      <rPr>
        <rFont val="Calibri"/>
        <color theme="1"/>
        <sz val="11.0"/>
      </rPr>
      <t>월 5~6</t>
    </r>
    <r>
      <rPr>
        <rFont val="Arial"/>
        <color theme="1"/>
        <sz val="11.0"/>
      </rPr>
      <t>개 콘텐츠</t>
    </r>
  </si>
  <si>
    <r>
      <rPr>
        <rFont val="Noto Sans CJK SC"/>
        <i/>
        <color rgb="FF808080"/>
        <sz val="11.0"/>
      </rPr>
      <t>※ 촬영 횟수 기준 과금</t>
    </r>
    <r>
      <rPr>
        <rFont val="Cambria"/>
        <i/>
        <color rgb="FF808080"/>
        <sz val="11.0"/>
      </rPr>
      <t xml:space="preserve">, </t>
    </r>
    <r>
      <rPr>
        <rFont val="Noto Sans CJK SC"/>
        <i/>
        <color rgb="FF808080"/>
        <sz val="11.0"/>
      </rPr>
      <t xml:space="preserve">편당 분리 시 편집비 </t>
    </r>
    <r>
      <rPr>
        <rFont val="Cambria"/>
        <i/>
        <color rgb="FF808080"/>
        <sz val="11.0"/>
      </rPr>
      <t>400,000</t>
    </r>
    <r>
      <rPr>
        <rFont val="Noto Sans CJK SC"/>
        <i/>
        <color rgb="FF808080"/>
        <sz val="11.0"/>
      </rPr>
      <t>원</t>
    </r>
    <r>
      <rPr>
        <rFont val="Cambria"/>
        <i/>
        <color rgb="FF808080"/>
        <sz val="11.0"/>
      </rPr>
      <t>/</t>
    </r>
    <r>
      <rPr>
        <rFont val="Noto Sans CJK SC"/>
        <i/>
        <color rgb="FF808080"/>
        <sz val="11.0"/>
      </rPr>
      <t>편 적용</t>
    </r>
  </si>
  <si>
    <r>
      <rPr>
        <rFont val="Cambria"/>
        <b/>
        <color rgb="FF4472C4"/>
        <sz val="12.0"/>
      </rPr>
      <t xml:space="preserve">4. </t>
    </r>
    <r>
      <rPr>
        <rFont val="Noto Sans CJK SC"/>
        <b/>
        <color rgb="FF4472C4"/>
        <sz val="12.0"/>
      </rPr>
      <t xml:space="preserve">미션형 </t>
    </r>
    <r>
      <rPr>
        <rFont val="Cambria"/>
        <b/>
        <color rgb="FF4472C4"/>
        <sz val="12.0"/>
      </rPr>
      <t xml:space="preserve">/ </t>
    </r>
    <r>
      <rPr>
        <rFont val="Noto Sans CJK SC"/>
        <b/>
        <color rgb="FF4472C4"/>
        <sz val="12.0"/>
      </rPr>
      <t xml:space="preserve">비하인드 — 편당 </t>
    </r>
    <r>
      <rPr>
        <rFont val="Cambria"/>
        <b/>
        <color rgb="FF4472C4"/>
        <sz val="12.0"/>
      </rPr>
      <t>800,000</t>
    </r>
    <r>
      <rPr>
        <rFont val="Noto Sans CJK SC"/>
        <b/>
        <color rgb="FF4472C4"/>
        <sz val="12.0"/>
      </rPr>
      <t>원</t>
    </r>
  </si>
  <si>
    <r>
      <rPr>
        <rFont val="Noto Sans CJK SC"/>
        <color theme="1"/>
        <sz val="11.0"/>
      </rPr>
      <t>기획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시나리오</t>
    </r>
  </si>
  <si>
    <r>
      <rPr>
        <rFont val="Noto Sans CJK SC"/>
        <color theme="1"/>
        <sz val="11.0"/>
      </rPr>
      <t>콘텐츠 기획</t>
    </r>
    <r>
      <rPr>
        <rFont val="Calibri"/>
        <color theme="1"/>
        <sz val="11.0"/>
      </rPr>
      <t xml:space="preserve">, </t>
    </r>
    <r>
      <rPr>
        <rFont val="Noto Sans CJK SC"/>
        <color theme="1"/>
        <sz val="11.0"/>
      </rPr>
      <t>레퍼런스 탐색</t>
    </r>
  </si>
  <si>
    <t>촬영지원</t>
  </si>
  <si>
    <t>간단 촬영 또는 동행 촬영</t>
  </si>
  <si>
    <t>편집</t>
  </si>
  <si>
    <t>(Pre) 기획/시나리오 + (Post) 편집 작업을 통합</t>
  </si>
  <si>
    <r>
      <rPr>
        <rFont val="Noto Sans CJK SC"/>
        <b/>
        <color theme="1"/>
        <sz val="11.0"/>
      </rPr>
      <t xml:space="preserve">월 소계 </t>
    </r>
    <r>
      <rPr>
        <rFont val="Calibri"/>
        <b/>
        <color theme="1"/>
        <sz val="11.0"/>
      </rPr>
      <t>(1</t>
    </r>
    <r>
      <rPr>
        <rFont val="Noto Sans CJK SC"/>
        <b/>
        <color theme="1"/>
        <sz val="11.0"/>
      </rPr>
      <t>회</t>
    </r>
    <r>
      <rPr>
        <rFont val="Calibri"/>
        <b/>
        <color theme="1"/>
        <sz val="11.0"/>
      </rPr>
      <t>)</t>
    </r>
  </si>
  <si>
    <r>
      <rPr>
        <rFont val="Noto Sans CJK SC"/>
        <i/>
        <color rgb="FF808080"/>
        <sz val="11.0"/>
      </rPr>
      <t>※ 프로젝트 시즌</t>
    </r>
    <r>
      <rPr>
        <rFont val="Cambria"/>
        <i/>
        <color rgb="FF808080"/>
        <sz val="11.0"/>
      </rPr>
      <t>(</t>
    </r>
    <r>
      <rPr>
        <rFont val="Noto Sans CJK SC"/>
        <i/>
        <color rgb="FF808080"/>
        <sz val="11.0"/>
      </rPr>
      <t>상</t>
    </r>
    <r>
      <rPr>
        <rFont val="Cambria"/>
        <i/>
        <color rgb="FF808080"/>
        <sz val="11.0"/>
      </rPr>
      <t>/</t>
    </r>
    <r>
      <rPr>
        <rFont val="Noto Sans CJK SC"/>
        <i/>
        <color rgb="FF808080"/>
        <sz val="11.0"/>
      </rPr>
      <t>하반기</t>
    </r>
    <r>
      <rPr>
        <rFont val="Cambria"/>
        <i/>
        <color rgb="FF808080"/>
        <sz val="11.0"/>
      </rPr>
      <t xml:space="preserve">) </t>
    </r>
    <r>
      <rPr>
        <rFont val="Noto Sans CJK SC"/>
        <i/>
        <color rgb="FF808080"/>
        <sz val="11.0"/>
      </rPr>
      <t>비중 증가 가능</t>
    </r>
  </si>
  <si>
    <r>
      <rPr>
        <rFont val="Noto Sans CJK SC"/>
        <b/>
        <color theme="1"/>
        <sz val="12.0"/>
      </rPr>
      <t xml:space="preserve">■ 편집비 기준표 </t>
    </r>
    <r>
      <rPr>
        <rFont val="Cambria"/>
        <b/>
        <color theme="1"/>
        <sz val="12.0"/>
      </rPr>
      <t>(</t>
    </r>
    <r>
      <rPr>
        <rFont val="Noto Sans CJK SC"/>
        <b/>
        <color theme="1"/>
        <sz val="12.0"/>
      </rPr>
      <t>개별 요청 시</t>
    </r>
    <r>
      <rPr>
        <rFont val="Cambria"/>
        <b/>
        <color theme="1"/>
        <sz val="12.0"/>
      </rPr>
      <t>)</t>
    </r>
  </si>
  <si>
    <t>유형</t>
  </si>
  <si>
    <r>
      <rPr>
        <rFont val="Noto Sans CJK SC"/>
        <b/>
        <color rgb="FFFFFFFF"/>
        <sz val="11.0"/>
      </rPr>
      <t xml:space="preserve">편집비 </t>
    </r>
    <r>
      <rPr>
        <rFont val="Cambria"/>
        <b/>
        <color rgb="FFFFFFFF"/>
        <sz val="11.0"/>
      </rPr>
      <t>(</t>
    </r>
    <r>
      <rPr>
        <rFont val="Noto Sans CJK SC"/>
        <b/>
        <color rgb="FFFFFFFF"/>
        <sz val="11.0"/>
      </rPr>
      <t>편당</t>
    </r>
    <r>
      <rPr>
        <rFont val="Cambria"/>
        <b/>
        <color rgb="FFFFFFFF"/>
        <sz val="11.0"/>
      </rPr>
      <t>)</t>
    </r>
  </si>
  <si>
    <r>
      <rPr>
        <rFont val="Noto Sans CJK SC"/>
        <color theme="1"/>
        <sz val="11.0"/>
      </rPr>
      <t xml:space="preserve">영상 </t>
    </r>
    <r>
      <rPr>
        <rFont val="Calibri"/>
        <color theme="1"/>
        <sz val="11.0"/>
      </rPr>
      <t>(</t>
    </r>
    <r>
      <rPr>
        <rFont val="Noto Sans CJK SC"/>
        <color theme="1"/>
        <sz val="11.0"/>
      </rPr>
      <t>숏폼</t>
    </r>
    <r>
      <rPr>
        <rFont val="Calibri"/>
        <color theme="1"/>
        <sz val="11.0"/>
      </rPr>
      <t>)</t>
    </r>
  </si>
  <si>
    <t>정가 기준</t>
  </si>
  <si>
    <r>
      <rPr>
        <rFont val="Noto Sans CJK SC"/>
        <color theme="1"/>
        <sz val="11.0"/>
      </rPr>
      <t>이미지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카드뉴스</t>
    </r>
  </si>
  <si>
    <t>보정 포함</t>
  </si>
  <si>
    <r>
      <rPr>
        <rFont val="Calibri"/>
        <color theme="1"/>
        <sz val="11.0"/>
      </rPr>
      <t xml:space="preserve">AI </t>
    </r>
    <r>
      <rPr>
        <rFont val="Noto Sans CJK SC"/>
        <color theme="1"/>
        <sz val="11.0"/>
      </rPr>
      <t>제작물</t>
    </r>
  </si>
  <si>
    <r>
      <rPr>
        <rFont val="Cambria"/>
        <b/>
        <color theme="1"/>
        <sz val="14.0"/>
      </rPr>
      <t>2026</t>
    </r>
    <r>
      <rPr>
        <rFont val="Noto Sans CJK SC"/>
        <b/>
        <color theme="1"/>
        <sz val="14.0"/>
      </rPr>
      <t xml:space="preserve">년 국순당 </t>
    </r>
    <r>
      <rPr>
        <rFont val="Cambria"/>
        <b/>
        <color theme="1"/>
        <sz val="14.0"/>
      </rPr>
      <t xml:space="preserve">SNS </t>
    </r>
    <r>
      <rPr>
        <rFont val="Noto Sans CJK SC"/>
        <b/>
        <color theme="1"/>
        <sz val="14.0"/>
      </rPr>
      <t>콘텐츠 제작 견적</t>
    </r>
  </si>
  <si>
    <r>
      <rPr>
        <rFont val="Arial"/>
        <b/>
        <color theme="1"/>
        <sz val="12.0"/>
      </rPr>
      <t xml:space="preserve">■ 월간 콘텐츠 비용 총괄 </t>
    </r>
    <r>
      <rPr>
        <rFont val="Cambria"/>
        <b/>
        <color theme="1"/>
        <sz val="12.0"/>
      </rPr>
      <t>(4</t>
    </r>
    <r>
      <rPr>
        <rFont val="Arial"/>
        <b/>
        <color theme="1"/>
        <sz val="12.0"/>
      </rPr>
      <t>주 기준 / 5주차는 월별 상이하므로 추가반영</t>
    </r>
    <r>
      <rPr>
        <rFont val="Cambria"/>
        <b/>
        <color theme="1"/>
        <sz val="12.0"/>
      </rPr>
      <t>)</t>
    </r>
  </si>
  <si>
    <t>월 편성</t>
  </si>
  <si>
    <t>제작 구조</t>
  </si>
  <si>
    <t>편당 단가</t>
  </si>
  <si>
    <t>월 소계</t>
  </si>
  <si>
    <r>
      <rPr>
        <rFont val="Noto Sans CJK SC"/>
        <color theme="1"/>
        <sz val="11.0"/>
      </rPr>
      <t xml:space="preserve">막걸리 </t>
    </r>
    <r>
      <rPr>
        <rFont val="Calibri"/>
        <color theme="1"/>
        <sz val="11.0"/>
      </rPr>
      <t>AI (MAi)</t>
    </r>
  </si>
  <si>
    <t>편당 정가</t>
  </si>
  <si>
    <r>
      <rPr>
        <rFont val="Noto Sans CJK SC"/>
        <color theme="1"/>
        <sz val="11.0"/>
      </rPr>
      <t xml:space="preserve">이미지 </t>
    </r>
    <r>
      <rPr>
        <rFont val="Calibri"/>
        <color theme="1"/>
        <sz val="11.0"/>
      </rPr>
      <t xml:space="preserve">1 + </t>
    </r>
    <r>
      <rPr>
        <rFont val="Noto Sans CJK SC"/>
        <color theme="1"/>
        <sz val="11.0"/>
      </rPr>
      <t xml:space="preserve">숏츠 </t>
    </r>
    <r>
      <rPr>
        <rFont val="Calibri"/>
        <color theme="1"/>
        <sz val="11.0"/>
      </rPr>
      <t>1</t>
    </r>
  </si>
  <si>
    <t>순당포착</t>
  </si>
  <si>
    <r>
      <rPr>
        <rFont val="Noto Sans CJK SC"/>
        <color theme="1"/>
        <sz val="11.0"/>
      </rPr>
      <t xml:space="preserve">월 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회 촬영 턴키</t>
    </r>
  </si>
  <si>
    <r>
      <rPr>
        <rFont val="Calibri"/>
        <color theme="1"/>
        <sz val="11.0"/>
      </rPr>
      <t>(</t>
    </r>
    <r>
      <rPr>
        <rFont val="Noto Sans CJK SC"/>
        <color theme="1"/>
        <sz val="11.0"/>
      </rPr>
      <t>턴키</t>
    </r>
    <r>
      <rPr>
        <rFont val="Calibri"/>
        <color theme="1"/>
        <sz val="11.0"/>
      </rPr>
      <t>)</t>
    </r>
  </si>
  <si>
    <r>
      <rPr>
        <rFont val="Noto Sans CJK SC"/>
        <color theme="1"/>
        <sz val="11.0"/>
      </rPr>
      <t>화보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영상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스토리 세트</t>
    </r>
  </si>
  <si>
    <r>
      <rPr>
        <rFont val="Noto Sans CJK SC"/>
        <color theme="1"/>
        <sz val="11.0"/>
      </rPr>
      <t xml:space="preserve">막시 </t>
    </r>
    <r>
      <rPr>
        <rFont val="Calibri"/>
        <color theme="1"/>
        <sz val="11.0"/>
      </rPr>
      <t xml:space="preserve">+ </t>
    </r>
    <r>
      <rPr>
        <rFont val="Noto Sans CJK SC"/>
        <color theme="1"/>
        <sz val="11.0"/>
      </rPr>
      <t>먹방</t>
    </r>
  </si>
  <si>
    <r>
      <rPr>
        <rFont val="Arial"/>
        <color theme="1"/>
        <sz val="11.0"/>
      </rPr>
      <t xml:space="preserve">월 </t>
    </r>
    <r>
      <rPr>
        <rFont val="Calibri"/>
        <color theme="1"/>
        <sz val="11.0"/>
      </rPr>
      <t>2</t>
    </r>
    <r>
      <rPr>
        <rFont val="Arial"/>
        <color theme="1"/>
        <sz val="11.0"/>
      </rPr>
      <t>회 촬영 (5~6회분 제작) 턴키</t>
    </r>
  </si>
  <si>
    <r>
      <rPr>
        <rFont val="Calibri"/>
        <color theme="1"/>
        <sz val="11.0"/>
      </rPr>
      <t>(</t>
    </r>
    <r>
      <rPr>
        <rFont val="Arial"/>
        <color theme="1"/>
        <sz val="11.0"/>
      </rPr>
      <t>턴키</t>
    </r>
    <r>
      <rPr>
        <rFont val="Calibri"/>
        <color theme="1"/>
        <sz val="11.0"/>
      </rPr>
      <t>)</t>
    </r>
  </si>
  <si>
    <r>
      <rPr>
        <rFont val="Noto Sans CJK SC"/>
        <color theme="1"/>
        <sz val="11.0"/>
      </rPr>
      <t xml:space="preserve">촬영당 </t>
    </r>
    <r>
      <rPr>
        <rFont val="Calibri"/>
        <color theme="1"/>
        <sz val="11.0"/>
      </rPr>
      <t>2,000,000</t>
    </r>
  </si>
  <si>
    <r>
      <rPr>
        <rFont val="Noto Sans CJK SC"/>
        <color theme="1"/>
        <sz val="11.0"/>
      </rPr>
      <t>미션형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비하인드</t>
    </r>
  </si>
  <si>
    <r>
      <rPr>
        <rFont val="Noto Sans CJK SC"/>
        <color theme="1"/>
        <sz val="11.0"/>
      </rPr>
      <t xml:space="preserve">기존 구조 </t>
    </r>
    <r>
      <rPr>
        <rFont val="Calibri"/>
        <color theme="1"/>
        <sz val="11.0"/>
      </rPr>
      <t xml:space="preserve">+ </t>
    </r>
    <r>
      <rPr>
        <rFont val="Noto Sans CJK SC"/>
        <color theme="1"/>
        <sz val="11.0"/>
      </rPr>
      <t>편집비↑</t>
    </r>
  </si>
  <si>
    <t>월 콘텐츠 소계</t>
  </si>
  <si>
    <t>대행수수료</t>
  </si>
  <si>
    <t>월 고정</t>
  </si>
  <si>
    <r>
      <rPr>
        <rFont val="Calibri"/>
        <color theme="1"/>
        <sz val="11.0"/>
      </rPr>
      <t>콘텐츠PM/</t>
    </r>
    <r>
      <rPr>
        <rFont val="Arial"/>
        <color theme="1"/>
        <sz val="11.0"/>
      </rPr>
      <t>운영관리/섭외 등을 포함</t>
    </r>
  </si>
  <si>
    <t>월 총계</t>
  </si>
  <si>
    <t>수정 [주2회 반영 (AI는 별도)]</t>
  </si>
  <si>
    <t>시리즈 A : 순당포착</t>
  </si>
  <si>
    <r>
      <rPr>
        <rFont val="Noto Sans CJK SC"/>
        <color theme="1"/>
        <sz val="11.0"/>
      </rPr>
      <t xml:space="preserve">월 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회 촬영 턴키</t>
    </r>
  </si>
  <si>
    <r>
      <rPr>
        <rFont val="Calibri"/>
        <color theme="1"/>
        <sz val="11.0"/>
      </rPr>
      <t>(</t>
    </r>
    <r>
      <rPr>
        <rFont val="Noto Sans CJK SC"/>
        <color theme="1"/>
        <sz val="11.0"/>
      </rPr>
      <t>턴키</t>
    </r>
    <r>
      <rPr>
        <rFont val="Calibri"/>
        <color theme="1"/>
        <sz val="11.0"/>
      </rPr>
      <t>)</t>
    </r>
  </si>
  <si>
    <r>
      <rPr>
        <rFont val="Noto Sans CJK SC"/>
        <color theme="1"/>
        <sz val="11.0"/>
      </rPr>
      <t>화보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영상</t>
    </r>
    <r>
      <rPr>
        <rFont val="Calibri"/>
        <color theme="1"/>
        <sz val="11.0"/>
      </rPr>
      <t>+</t>
    </r>
    <r>
      <rPr>
        <rFont val="Noto Sans CJK SC"/>
        <color theme="1"/>
        <sz val="11.0"/>
      </rPr>
      <t>스토리 세트</t>
    </r>
  </si>
  <si>
    <t>시리즈 B : 외국인</t>
  </si>
  <si>
    <t>(가제) 어느날 외국인이 막걸리를 들고왔다</t>
  </si>
  <si>
    <r>
      <rPr>
        <rFont val="Calibri"/>
        <color theme="1"/>
        <sz val="11.0"/>
      </rPr>
      <t>(</t>
    </r>
    <r>
      <rPr>
        <rFont val="Arial"/>
        <color theme="1"/>
        <sz val="11.0"/>
      </rPr>
      <t>턴키</t>
    </r>
    <r>
      <rPr>
        <rFont val="Calibri"/>
        <color theme="1"/>
        <sz val="11.0"/>
      </rPr>
      <t>)</t>
    </r>
  </si>
  <si>
    <t>시리즈 C : 추가시리즈</t>
  </si>
  <si>
    <r>
      <rPr>
        <rFont val="Calibri"/>
        <color theme="1"/>
        <sz val="11.0"/>
      </rPr>
      <t>(</t>
    </r>
    <r>
      <rPr>
        <rFont val="Arial"/>
        <color theme="1"/>
        <sz val="11.0"/>
      </rPr>
      <t>턴키</t>
    </r>
    <r>
      <rPr>
        <rFont val="Calibri"/>
        <color theme="1"/>
        <sz val="11.0"/>
      </rPr>
      <t>)</t>
    </r>
  </si>
  <si>
    <r>
      <rPr>
        <rFont val="Noto Sans CJK SC"/>
        <color theme="1"/>
        <sz val="11.0"/>
      </rPr>
      <t xml:space="preserve">막걸리 </t>
    </r>
    <r>
      <rPr>
        <rFont val="Calibri"/>
        <color theme="1"/>
        <sz val="11.0"/>
      </rPr>
      <t>AI (MAi)</t>
    </r>
  </si>
  <si>
    <r>
      <rPr>
        <rFont val="Noto Sans CJK SC"/>
        <color theme="1"/>
        <sz val="11.0"/>
      </rPr>
      <t xml:space="preserve">이미지 </t>
    </r>
    <r>
      <rPr>
        <rFont val="Calibri"/>
        <color theme="1"/>
        <sz val="11.0"/>
      </rPr>
      <t xml:space="preserve">1 + </t>
    </r>
    <r>
      <rPr>
        <rFont val="Noto Sans CJK SC"/>
        <color theme="1"/>
        <sz val="11.0"/>
      </rPr>
      <t xml:space="preserve">숏츠 </t>
    </r>
    <r>
      <rPr>
        <rFont val="Calibri"/>
        <color theme="1"/>
        <sz val="11.0"/>
      </rPr>
      <t>1</t>
    </r>
  </si>
  <si>
    <r>
      <rPr>
        <rFont val="Calibri"/>
        <color theme="1"/>
        <sz val="11.0"/>
      </rPr>
      <t>콘텐츠PM/</t>
    </r>
    <r>
      <rPr>
        <rFont val="Arial"/>
        <color theme="1"/>
        <sz val="11.0"/>
      </rPr>
      <t>운영관리/섭외 등을 포함</t>
    </r>
  </si>
  <si>
    <t>추가 요청시 별도 적용</t>
  </si>
  <si>
    <r>
      <rPr>
        <rFont val="Cambria"/>
        <b/>
        <color theme="1"/>
        <sz val="12.0"/>
      </rPr>
      <t>■ 1</t>
    </r>
    <r>
      <rPr>
        <rFont val="Noto Sans CJK SC"/>
        <b/>
        <color theme="1"/>
        <sz val="12.0"/>
      </rPr>
      <t xml:space="preserve">월 사전준비 비용 </t>
    </r>
    <r>
      <rPr>
        <rFont val="Cambria"/>
        <b/>
        <color theme="1"/>
        <sz val="12.0"/>
      </rPr>
      <t>(</t>
    </r>
    <r>
      <rPr>
        <rFont val="Noto Sans CJK SC"/>
        <b/>
        <color theme="1"/>
        <sz val="12.0"/>
      </rPr>
      <t>별도</t>
    </r>
    <r>
      <rPr>
        <rFont val="Cambria"/>
        <b/>
        <color theme="1"/>
        <sz val="12.0"/>
      </rPr>
      <t>)</t>
    </r>
  </si>
  <si>
    <t>사전 기획비</t>
  </si>
  <si>
    <r>
      <rPr>
        <rFont val="Arial"/>
        <color theme="1"/>
        <sz val="11.0"/>
      </rPr>
      <t>연간 방향성 수립</t>
    </r>
    <r>
      <rPr>
        <rFont val="Calibri"/>
        <color theme="1"/>
        <sz val="11.0"/>
      </rPr>
      <t xml:space="preserve">, </t>
    </r>
    <r>
      <rPr>
        <rFont val="Arial"/>
        <color theme="1"/>
        <sz val="11.0"/>
      </rPr>
      <t xml:space="preserve">콘텐츠 시리즈 기획 
</t>
    </r>
    <r>
      <rPr>
        <rFont val="Noto Sans"/>
        <i/>
        <color theme="1"/>
        <sz val="10.0"/>
      </rPr>
      <t>*막시/막먹 출연자 사전 컨택/섭외에 따른 인건비 포함</t>
    </r>
  </si>
  <si>
    <t>디자인비</t>
  </si>
  <si>
    <t>각 시리즈별 디자인 그래픽 제작</t>
  </si>
  <si>
    <r>
      <rPr>
        <rFont val="Cambria"/>
        <b/>
        <color theme="1"/>
        <sz val="11.0"/>
      </rPr>
      <t>1</t>
    </r>
    <r>
      <rPr>
        <rFont val="Noto Sans CJK SC"/>
        <b/>
        <color theme="1"/>
        <sz val="11.0"/>
      </rPr>
      <t>월 총계</t>
    </r>
  </si>
  <si>
    <t>본격 촬영 전 선행 비용</t>
  </si>
  <si>
    <t>■ 예상 광고비 (월)</t>
  </si>
  <si>
    <t>인스타그램</t>
  </si>
  <si>
    <t>12개 콘텐츠 중 시리즈별 1개분 
약 3~4개분에 대해 광고 진행하여 
건당 5~8만원 집행</t>
  </si>
  <si>
    <t>총계</t>
  </si>
  <si>
    <t>유튜브 운영 시 재편성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</si>
</sst>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원"/>
  </numFmts>
  <fonts count="19">
    <font>
      <sz val="11.0"/>
      <color theme="1"/>
      <name val="Calibri"/>
      <scheme val="minor"/>
    </font>
    <font>
      <color theme="1"/>
      <name val="Arial"/>
    </font>
    <font>
      <b/>
      <sz val="13.0"/>
      <color theme="1"/>
      <name val="Arial"/>
    </font>
    <font>
      <b/>
      <sz val="11.0"/>
      <color theme="1"/>
      <name val="Noto Sans"/>
    </font>
    <font>
      <sz val="11.0"/>
      <color theme="1"/>
      <name val="Noto Sans"/>
    </font>
    <font>
      <sz val="11.0"/>
      <color theme="1"/>
      <name val="Calibri"/>
    </font>
    <font/>
    <font>
      <sz val="11.0"/>
      <color rgb="FFFF0000"/>
      <name val="Noto Sans"/>
    </font>
    <font>
      <b/>
      <sz val="11.0"/>
      <color theme="1"/>
      <name val="Calibri"/>
    </font>
    <font>
      <b/>
      <sz val="11.0"/>
      <color rgb="FFFFFFFF"/>
      <name val="Noto Sans"/>
    </font>
    <font>
      <sz val="11.0"/>
      <color theme="1"/>
      <name val="Arial"/>
    </font>
    <font>
      <b/>
      <sz val="14.0"/>
      <color theme="1"/>
      <name val="Cambria"/>
    </font>
    <font>
      <b/>
      <sz val="12.0"/>
      <color rgb="FF4472C4"/>
      <name val="Cambria"/>
    </font>
    <font>
      <b/>
      <sz val="11.0"/>
      <color theme="1"/>
      <name val="Cambria"/>
    </font>
    <font>
      <i/>
      <sz val="11.0"/>
      <color rgb="FF808080"/>
      <name val="Noto Sans"/>
    </font>
    <font>
      <b/>
      <sz val="12.0"/>
      <color theme="1"/>
      <name val="Noto Sans"/>
    </font>
    <font>
      <b/>
      <color rgb="FFFF0000"/>
      <name val="Calibri"/>
      <scheme val="minor"/>
    </font>
    <font>
      <sz val="11.0"/>
      <color theme="1"/>
      <name val="Cambria"/>
    </font>
    <font>
      <b/>
      <sz val="12.0"/>
      <color theme="1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6DCE4"/>
        <bgColor rgb="FFD6DCE4"/>
      </patternFill>
    </fill>
  </fills>
  <borders count="1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3" xfId="0" applyAlignment="1" applyBorder="1" applyFont="1" applyNumberFormat="1">
      <alignment horizontal="right" vertical="bottom"/>
    </xf>
    <xf quotePrefix="1" borderId="1" fillId="0" fontId="1" numFmtId="0" xfId="0" applyAlignment="1" applyBorder="1" applyFont="1">
      <alignment vertical="bottom"/>
    </xf>
    <xf borderId="3" fillId="0" fontId="6" numFmtId="0" xfId="0" applyBorder="1" applyFont="1"/>
    <xf borderId="1" fillId="0" fontId="7" numFmtId="0" xfId="0" applyAlignment="1" applyBorder="1" applyFont="1">
      <alignment vertical="bottom"/>
    </xf>
    <xf borderId="4" fillId="3" fontId="4" numFmtId="0" xfId="0" applyAlignment="1" applyBorder="1" applyFill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1" fillId="3" fontId="8" numFmtId="3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vertical="bottom"/>
    </xf>
    <xf borderId="7" fillId="4" fontId="9" numFmtId="0" xfId="0" applyBorder="1" applyFill="1" applyFont="1"/>
    <xf borderId="8" fillId="0" fontId="6" numFmtId="0" xfId="0" applyBorder="1" applyFont="1"/>
    <xf borderId="9" fillId="0" fontId="6" numFmtId="0" xfId="0" applyBorder="1" applyFont="1"/>
    <xf borderId="1" fillId="4" fontId="1" numFmtId="0" xfId="0" applyAlignment="1" applyBorder="1" applyFont="1">
      <alignment vertical="bottom"/>
    </xf>
    <xf borderId="1" fillId="5" fontId="4" numFmtId="0" xfId="0" applyAlignment="1" applyBorder="1" applyFill="1" applyFont="1">
      <alignment vertical="bottom"/>
    </xf>
    <xf borderId="1" fillId="5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2" fillId="0" fontId="10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10" fillId="0" fontId="6" numFmtId="0" xfId="0" applyBorder="1" applyFont="1"/>
    <xf borderId="11" fillId="0" fontId="4" numFmtId="0" xfId="0" applyAlignment="1" applyBorder="1" applyFont="1">
      <alignment horizontal="center"/>
    </xf>
    <xf borderId="12" fillId="5" fontId="3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1" fillId="0" fontId="5" numFmtId="0" xfId="0" applyBorder="1" applyFont="1"/>
    <xf borderId="13" fillId="0" fontId="6" numFmtId="0" xfId="0" applyBorder="1" applyFont="1"/>
    <xf borderId="4" fillId="0" fontId="6" numFmtId="0" xfId="0" applyBorder="1" applyFont="1"/>
    <xf borderId="7" fillId="0" fontId="4" numFmtId="0" xfId="0" applyAlignment="1" applyBorder="1" applyFont="1">
      <alignment horizontal="center"/>
    </xf>
    <xf borderId="1" fillId="0" fontId="5" numFmtId="3" xfId="0" applyAlignment="1" applyBorder="1" applyFont="1" applyNumberFormat="1">
      <alignment horizontal="right"/>
    </xf>
    <xf borderId="1" fillId="0" fontId="1" numFmtId="0" xfId="0" applyBorder="1" applyFont="1"/>
    <xf borderId="7" fillId="2" fontId="3" numFmtId="0" xfId="0" applyAlignment="1" applyBorder="1" applyFont="1">
      <alignment horizontal="center"/>
    </xf>
    <xf borderId="1" fillId="2" fontId="5" numFmtId="3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vertical="bottom"/>
    </xf>
    <xf borderId="0" fillId="0" fontId="1" numFmtId="3" xfId="0" applyAlignment="1" applyFont="1" applyNumberFormat="1">
      <alignment vertical="bottom"/>
    </xf>
    <xf borderId="2" fillId="0" fontId="3" numFmtId="0" xfId="0" applyAlignment="1" applyBorder="1" applyFont="1">
      <alignment horizontal="center"/>
    </xf>
    <xf borderId="1" fillId="6" fontId="5" numFmtId="3" xfId="0" applyAlignment="1" applyBorder="1" applyFill="1" applyFont="1" applyNumberFormat="1">
      <alignment horizontal="right" vertical="bottom"/>
    </xf>
    <xf borderId="1" fillId="6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4" fillId="4" fontId="9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14" fillId="0" fontId="5" numFmtId="0" xfId="0" applyAlignment="1" applyBorder="1" applyFont="1">
      <alignment horizontal="left" shrinkToFit="0" vertical="center" wrapText="0"/>
    </xf>
    <xf borderId="14" fillId="0" fontId="5" numFmtId="164" xfId="0" applyAlignment="1" applyBorder="1" applyFont="1" applyNumberFormat="1">
      <alignment horizontal="right" shrinkToFit="0" vertical="center" wrapText="0"/>
    </xf>
    <xf borderId="14" fillId="0" fontId="4" numFmtId="0" xfId="0" applyAlignment="1" applyBorder="1" applyFont="1">
      <alignment horizontal="left" shrinkToFit="0" vertical="center" wrapText="0"/>
    </xf>
    <xf borderId="14" fillId="7" fontId="3" numFmtId="0" xfId="0" applyAlignment="1" applyBorder="1" applyFill="1" applyFont="1">
      <alignment horizontal="left" shrinkToFit="0" vertical="center" wrapText="0"/>
    </xf>
    <xf borderId="14" fillId="7" fontId="13" numFmtId="164" xfId="0" applyAlignment="1" applyBorder="1" applyFont="1" applyNumberFormat="1">
      <alignment horizontal="right" shrinkToFit="0" vertical="center" wrapText="0"/>
    </xf>
    <xf borderId="14" fillId="5" fontId="3" numFmtId="0" xfId="0" applyAlignment="1" applyBorder="1" applyFont="1">
      <alignment horizontal="left" shrinkToFit="0" vertical="center" wrapText="0"/>
    </xf>
    <xf borderId="14" fillId="5" fontId="13" numFmtId="164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readingOrder="0" shrinkToFit="0" vertical="bottom" wrapText="0"/>
    </xf>
    <xf borderId="14" fillId="0" fontId="4" numFmtId="0" xfId="0" applyAlignment="1" applyBorder="1" applyFont="1">
      <alignment horizontal="left" readingOrder="0" shrinkToFit="0" vertical="center" wrapText="0"/>
    </xf>
    <xf borderId="14" fillId="0" fontId="5" numFmtId="164" xfId="0" applyAlignment="1" applyBorder="1" applyFont="1" applyNumberFormat="1">
      <alignment horizontal="right" readingOrder="0" shrinkToFit="0" vertical="center" wrapText="0"/>
    </xf>
    <xf borderId="14" fillId="0" fontId="5" numFmtId="0" xfId="0" applyAlignment="1" applyBorder="1" applyFont="1">
      <alignment horizontal="left" readingOrder="0" shrinkToFit="0" vertical="center" wrapText="0"/>
    </xf>
    <xf borderId="0" fillId="0" fontId="14" numFmtId="0" xfId="0" applyAlignment="1" applyFont="1">
      <alignment shrinkToFit="0" vertical="bottom" wrapText="0"/>
    </xf>
    <xf borderId="14" fillId="0" fontId="10" numFmtId="0" xfId="0" applyAlignment="1" applyBorder="1" applyFont="1">
      <alignment horizontal="left" readingOrder="0" shrinkToFit="0" vertical="center" wrapText="0"/>
    </xf>
    <xf borderId="14" fillId="7" fontId="5" numFmtId="164" xfId="0" applyAlignment="1" applyBorder="1" applyFont="1" applyNumberFormat="1">
      <alignment horizontal="right" shrinkToFit="0" vertical="center" wrapText="0"/>
    </xf>
    <xf borderId="14" fillId="7" fontId="4" numFmtId="0" xfId="0" applyAlignment="1" applyBorder="1" applyFont="1">
      <alignment horizontal="left" shrinkToFit="0" vertical="center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14" fillId="0" fontId="5" numFmtId="0" xfId="0" applyAlignment="1" applyBorder="1" applyFont="1">
      <alignment horizontal="right" shrinkToFit="0" vertical="center" wrapText="0"/>
    </xf>
    <xf borderId="14" fillId="0" fontId="4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4" fillId="0" fontId="4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center" readingOrder="0" shrinkToFit="0" vertical="center" wrapText="0"/>
    </xf>
    <xf borderId="14" fillId="7" fontId="3" numFmtId="0" xfId="0" applyAlignment="1" applyBorder="1" applyFont="1">
      <alignment horizontal="left" readingOrder="0" shrinkToFit="0" vertical="center" wrapText="0"/>
    </xf>
    <xf borderId="14" fillId="7" fontId="13" numFmtId="0" xfId="0" applyAlignment="1" applyBorder="1" applyFont="1">
      <alignment horizontal="right" shrinkToFit="0" vertical="center" wrapText="0"/>
    </xf>
    <xf borderId="14" fillId="7" fontId="13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center" readingOrder="0" shrinkToFit="0" vertical="center" wrapText="1"/>
    </xf>
    <xf borderId="14" fillId="5" fontId="13" numFmtId="0" xfId="0" applyAlignment="1" applyBorder="1" applyFont="1">
      <alignment horizontal="right" shrinkToFit="0" vertical="center" wrapText="0"/>
    </xf>
    <xf borderId="14" fillId="5" fontId="13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readingOrder="0"/>
    </xf>
    <xf borderId="14" fillId="0" fontId="5" numFmtId="0" xfId="0" applyAlignment="1" applyBorder="1" applyFont="1">
      <alignment horizontal="right" readingOrder="0" shrinkToFit="0" vertical="center" wrapText="0"/>
    </xf>
    <xf borderId="14" fillId="5" fontId="17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shrinkToFit="0" vertical="bottom" wrapText="0"/>
    </xf>
    <xf borderId="14" fillId="5" fontId="13" numFmtId="0" xfId="0" applyAlignment="1" applyBorder="1" applyFont="1">
      <alignment horizontal="left" shrinkToFit="0" vertical="center" wrapText="0"/>
    </xf>
    <xf borderId="14" fillId="5" fontId="3" numFmtId="164" xfId="0" applyAlignment="1" applyBorder="1" applyFont="1" applyNumberFormat="1">
      <alignment horizontal="left" shrinkToFit="0" vertical="center" wrapText="0"/>
    </xf>
    <xf borderId="0" fillId="0" fontId="18" numFmtId="0" xfId="0" applyAlignment="1" applyFont="1">
      <alignment readingOrder="0" shrinkToFit="0" vertical="bottom" wrapText="0"/>
    </xf>
    <xf borderId="14" fillId="5" fontId="1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5</v>
      </c>
      <c r="I4" s="3" t="s">
        <v>7</v>
      </c>
      <c r="J4" s="3" t="s">
        <v>8</v>
      </c>
      <c r="K4" s="3" t="s">
        <v>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4" t="s">
        <v>10</v>
      </c>
      <c r="C5" s="5" t="s">
        <v>11</v>
      </c>
      <c r="D5" s="6" t="s">
        <v>12</v>
      </c>
      <c r="E5" s="7">
        <v>1.0</v>
      </c>
      <c r="F5" s="7" t="s">
        <v>13</v>
      </c>
      <c r="G5" s="7">
        <v>1.0</v>
      </c>
      <c r="H5" s="7" t="s">
        <v>14</v>
      </c>
      <c r="I5" s="8">
        <v>200000.0</v>
      </c>
      <c r="J5" s="8">
        <f t="shared" ref="J5:J6" si="1">E5*G5*I5</f>
        <v>200000</v>
      </c>
      <c r="K5" s="9" t="s">
        <v>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C6" s="10"/>
      <c r="D6" s="6" t="s">
        <v>16</v>
      </c>
      <c r="E6" s="7">
        <v>1.0</v>
      </c>
      <c r="F6" s="7" t="s">
        <v>13</v>
      </c>
      <c r="G6" s="7">
        <v>3.0</v>
      </c>
      <c r="H6" s="7" t="s">
        <v>17</v>
      </c>
      <c r="I6" s="8">
        <v>600000.0</v>
      </c>
      <c r="J6" s="8">
        <f t="shared" si="1"/>
        <v>1800000</v>
      </c>
      <c r="K6" s="11" t="s">
        <v>18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2" t="s">
        <v>19</v>
      </c>
      <c r="C7" s="13"/>
      <c r="D7" s="13"/>
      <c r="E7" s="13"/>
      <c r="F7" s="13"/>
      <c r="G7" s="13"/>
      <c r="H7" s="13"/>
      <c r="I7" s="14"/>
      <c r="J7" s="15">
        <f>sum(J5:J6)</f>
        <v>2000000</v>
      </c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7" t="s">
        <v>20</v>
      </c>
      <c r="C9" s="18"/>
      <c r="D9" s="18"/>
      <c r="E9" s="18"/>
      <c r="F9" s="18"/>
      <c r="G9" s="18"/>
      <c r="H9" s="18"/>
      <c r="I9" s="19"/>
      <c r="J9" s="20"/>
      <c r="K9" s="2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21" t="s">
        <v>21</v>
      </c>
      <c r="C10" s="22"/>
      <c r="D10" s="22"/>
      <c r="E10" s="22"/>
      <c r="F10" s="22"/>
      <c r="G10" s="22"/>
      <c r="H10" s="22"/>
      <c r="I10" s="22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5</v>
      </c>
      <c r="I11" s="3" t="s">
        <v>7</v>
      </c>
      <c r="J11" s="3" t="s">
        <v>8</v>
      </c>
      <c r="K11" s="3" t="s">
        <v>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5" t="s">
        <v>22</v>
      </c>
      <c r="C12" s="5" t="s">
        <v>23</v>
      </c>
      <c r="D12" s="6" t="s">
        <v>24</v>
      </c>
      <c r="E12" s="7">
        <v>1.0</v>
      </c>
      <c r="F12" s="7" t="s">
        <v>13</v>
      </c>
      <c r="G12" s="7">
        <v>1.0</v>
      </c>
      <c r="H12" s="7" t="s">
        <v>14</v>
      </c>
      <c r="I12" s="8">
        <v>200000.0</v>
      </c>
      <c r="J12" s="8">
        <f t="shared" ref="J12:J16" si="2">E12*G12*I12</f>
        <v>200000</v>
      </c>
      <c r="K12" s="23" t="s">
        <v>25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0"/>
      <c r="C13" s="10"/>
      <c r="D13" s="6" t="s">
        <v>26</v>
      </c>
      <c r="E13" s="7">
        <v>1.0</v>
      </c>
      <c r="F13" s="7" t="s">
        <v>13</v>
      </c>
      <c r="G13" s="7">
        <v>1.0</v>
      </c>
      <c r="H13" s="7" t="s">
        <v>14</v>
      </c>
      <c r="I13" s="8">
        <v>300000.0</v>
      </c>
      <c r="J13" s="8">
        <f t="shared" si="2"/>
        <v>300000</v>
      </c>
      <c r="K13" s="24" t="s">
        <v>27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0"/>
      <c r="C14" s="10"/>
      <c r="D14" s="6" t="s">
        <v>28</v>
      </c>
      <c r="E14" s="7">
        <v>1.0</v>
      </c>
      <c r="F14" s="7" t="s">
        <v>13</v>
      </c>
      <c r="G14" s="7">
        <v>2.0</v>
      </c>
      <c r="H14" s="7" t="s">
        <v>29</v>
      </c>
      <c r="I14" s="8">
        <v>300000.0</v>
      </c>
      <c r="J14" s="8">
        <f t="shared" si="2"/>
        <v>600000</v>
      </c>
      <c r="K14" s="24" t="s">
        <v>30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0"/>
      <c r="C15" s="10"/>
      <c r="D15" s="6" t="s">
        <v>31</v>
      </c>
      <c r="E15" s="7">
        <v>1.0</v>
      </c>
      <c r="F15" s="7" t="s">
        <v>13</v>
      </c>
      <c r="G15" s="7">
        <v>3.0</v>
      </c>
      <c r="H15" s="7" t="s">
        <v>32</v>
      </c>
      <c r="I15" s="8">
        <v>100000.0</v>
      </c>
      <c r="J15" s="8">
        <f t="shared" si="2"/>
        <v>300000</v>
      </c>
      <c r="K15" s="24" t="s">
        <v>33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0"/>
      <c r="C16" s="10"/>
      <c r="D16" s="6" t="s">
        <v>34</v>
      </c>
      <c r="E16" s="7">
        <v>1.0</v>
      </c>
      <c r="F16" s="7" t="s">
        <v>13</v>
      </c>
      <c r="G16" s="7">
        <v>2.0</v>
      </c>
      <c r="H16" s="7" t="s">
        <v>35</v>
      </c>
      <c r="I16" s="8">
        <v>400000.0</v>
      </c>
      <c r="J16" s="8">
        <f t="shared" si="2"/>
        <v>800000</v>
      </c>
      <c r="K16" s="24" t="s">
        <v>36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0"/>
      <c r="C17" s="12" t="s">
        <v>37</v>
      </c>
      <c r="D17" s="13"/>
      <c r="E17" s="13"/>
      <c r="F17" s="13"/>
      <c r="G17" s="13"/>
      <c r="H17" s="13"/>
      <c r="I17" s="14"/>
      <c r="J17" s="15">
        <f>sum(J12:J16)</f>
        <v>2200000</v>
      </c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0"/>
      <c r="C18" s="25" t="s">
        <v>38</v>
      </c>
      <c r="D18" s="6" t="s">
        <v>24</v>
      </c>
      <c r="E18" s="7">
        <v>1.0</v>
      </c>
      <c r="F18" s="7" t="s">
        <v>13</v>
      </c>
      <c r="G18" s="7">
        <v>1.0</v>
      </c>
      <c r="H18" s="7" t="s">
        <v>14</v>
      </c>
      <c r="I18" s="8">
        <v>300000.0</v>
      </c>
      <c r="J18" s="8">
        <f t="shared" ref="J18:J21" si="3">E18*G18*I18</f>
        <v>300000</v>
      </c>
      <c r="K18" s="24" t="s">
        <v>39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0"/>
      <c r="C19" s="10"/>
      <c r="D19" s="7" t="s">
        <v>40</v>
      </c>
      <c r="E19" s="7">
        <v>1.0</v>
      </c>
      <c r="F19" s="7" t="s">
        <v>13</v>
      </c>
      <c r="G19" s="7">
        <v>2.0</v>
      </c>
      <c r="H19" s="7" t="s">
        <v>41</v>
      </c>
      <c r="I19" s="8">
        <v>300000.0</v>
      </c>
      <c r="J19" s="8">
        <f t="shared" si="3"/>
        <v>600000</v>
      </c>
      <c r="K19" s="24" t="s">
        <v>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0"/>
      <c r="C20" s="10"/>
      <c r="D20" s="7" t="s">
        <v>43</v>
      </c>
      <c r="E20" s="7">
        <v>1.0</v>
      </c>
      <c r="F20" s="7" t="s">
        <v>13</v>
      </c>
      <c r="G20" s="7">
        <v>2.0</v>
      </c>
      <c r="H20" s="7" t="s">
        <v>29</v>
      </c>
      <c r="I20" s="8">
        <v>300000.0</v>
      </c>
      <c r="J20" s="8">
        <f t="shared" si="3"/>
        <v>600000</v>
      </c>
      <c r="K20" s="2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0"/>
      <c r="C21" s="10"/>
      <c r="D21" s="7" t="s">
        <v>34</v>
      </c>
      <c r="E21" s="7">
        <v>1.0</v>
      </c>
      <c r="F21" s="7" t="s">
        <v>13</v>
      </c>
      <c r="G21" s="7">
        <v>3.0</v>
      </c>
      <c r="H21" s="7" t="s">
        <v>35</v>
      </c>
      <c r="I21" s="8">
        <v>400000.0</v>
      </c>
      <c r="J21" s="8">
        <f t="shared" si="3"/>
        <v>1200000</v>
      </c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0"/>
      <c r="C22" s="12" t="s">
        <v>44</v>
      </c>
      <c r="D22" s="13"/>
      <c r="E22" s="13"/>
      <c r="F22" s="13"/>
      <c r="G22" s="13"/>
      <c r="H22" s="13"/>
      <c r="I22" s="14"/>
      <c r="J22" s="15">
        <f>sum(J18:J21)</f>
        <v>2700000</v>
      </c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0"/>
      <c r="C23" s="5" t="s">
        <v>45</v>
      </c>
      <c r="D23" s="7" t="s">
        <v>24</v>
      </c>
      <c r="E23" s="7">
        <v>1.0</v>
      </c>
      <c r="F23" s="7" t="s">
        <v>13</v>
      </c>
      <c r="G23" s="7">
        <v>1.0</v>
      </c>
      <c r="H23" s="7" t="s">
        <v>14</v>
      </c>
      <c r="I23" s="8">
        <v>200000.0</v>
      </c>
      <c r="J23" s="8">
        <f>E23*G23*I23</f>
        <v>200000</v>
      </c>
      <c r="K23" s="24" t="s">
        <v>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0"/>
      <c r="C24" s="10"/>
      <c r="D24" s="7" t="s">
        <v>43</v>
      </c>
      <c r="E24" s="7">
        <v>1.0</v>
      </c>
      <c r="F24" s="7" t="s">
        <v>13</v>
      </c>
      <c r="G24" s="7">
        <v>1.0</v>
      </c>
      <c r="H24" s="7" t="s">
        <v>14</v>
      </c>
      <c r="I24" s="8">
        <v>300000.0</v>
      </c>
      <c r="J24" s="8">
        <v>600000.0</v>
      </c>
      <c r="K24" s="2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0"/>
      <c r="C25" s="27"/>
      <c r="D25" s="7" t="s">
        <v>34</v>
      </c>
      <c r="E25" s="7">
        <v>1.0</v>
      </c>
      <c r="F25" s="7" t="s">
        <v>13</v>
      </c>
      <c r="G25" s="7">
        <v>2.0</v>
      </c>
      <c r="H25" s="7" t="s">
        <v>35</v>
      </c>
      <c r="I25" s="8">
        <v>400000.0</v>
      </c>
      <c r="J25" s="8">
        <f>E25*G25*I25</f>
        <v>800000</v>
      </c>
      <c r="K25" s="2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27"/>
      <c r="C26" s="12" t="s">
        <v>47</v>
      </c>
      <c r="D26" s="13"/>
      <c r="E26" s="13"/>
      <c r="F26" s="13"/>
      <c r="G26" s="13"/>
      <c r="H26" s="13"/>
      <c r="I26" s="14"/>
      <c r="J26" s="15">
        <f>sum(J23:J25)</f>
        <v>1600000</v>
      </c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28" t="s">
        <v>48</v>
      </c>
      <c r="C27" s="29" t="s">
        <v>49</v>
      </c>
      <c r="D27" s="30" t="s">
        <v>50</v>
      </c>
      <c r="E27" s="7">
        <v>1.0</v>
      </c>
      <c r="F27" s="7" t="s">
        <v>13</v>
      </c>
      <c r="G27" s="7">
        <v>1.0</v>
      </c>
      <c r="H27" s="7" t="s">
        <v>14</v>
      </c>
      <c r="I27" s="8">
        <v>200000.0</v>
      </c>
      <c r="J27" s="8">
        <f t="shared" ref="J27:J28" si="4">E27*G27*I27</f>
        <v>200000</v>
      </c>
      <c r="K27" s="31" t="s">
        <v>51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32"/>
      <c r="C28" s="13"/>
      <c r="D28" s="30" t="s">
        <v>52</v>
      </c>
      <c r="E28" s="7">
        <v>1.0</v>
      </c>
      <c r="F28" s="7" t="s">
        <v>13</v>
      </c>
      <c r="G28" s="7">
        <v>1.0</v>
      </c>
      <c r="H28" s="7" t="s">
        <v>14</v>
      </c>
      <c r="I28" s="8">
        <v>250000.0</v>
      </c>
      <c r="J28" s="8">
        <f t="shared" si="4"/>
        <v>250000</v>
      </c>
      <c r="K28" s="31" t="s">
        <v>53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32"/>
      <c r="C29" s="12" t="s">
        <v>54</v>
      </c>
      <c r="D29" s="13"/>
      <c r="E29" s="13"/>
      <c r="F29" s="13"/>
      <c r="G29" s="13"/>
      <c r="H29" s="13"/>
      <c r="I29" s="14"/>
      <c r="J29" s="15">
        <f>sum(J27:J28)</f>
        <v>450000</v>
      </c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32"/>
      <c r="C30" s="29" t="s">
        <v>55</v>
      </c>
      <c r="D30" s="30" t="s">
        <v>56</v>
      </c>
      <c r="E30" s="7">
        <v>1.0</v>
      </c>
      <c r="F30" s="7" t="s">
        <v>13</v>
      </c>
      <c r="G30" s="7">
        <v>1.0</v>
      </c>
      <c r="H30" s="7" t="s">
        <v>14</v>
      </c>
      <c r="I30" s="8">
        <v>200000.0</v>
      </c>
      <c r="J30" s="8">
        <f t="shared" ref="J30:J31" si="5">E30*G30*I30</f>
        <v>200000</v>
      </c>
      <c r="K30" s="31" t="s">
        <v>57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32"/>
      <c r="C31" s="13"/>
      <c r="D31" s="30" t="s">
        <v>58</v>
      </c>
      <c r="E31" s="7">
        <v>1.0</v>
      </c>
      <c r="F31" s="7" t="s">
        <v>13</v>
      </c>
      <c r="G31" s="7">
        <v>1.0</v>
      </c>
      <c r="H31" s="7" t="s">
        <v>14</v>
      </c>
      <c r="I31" s="8">
        <v>200000.0</v>
      </c>
      <c r="J31" s="8">
        <f t="shared" si="5"/>
        <v>200000</v>
      </c>
      <c r="K31" s="31" t="s">
        <v>59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33"/>
      <c r="C32" s="12" t="s">
        <v>54</v>
      </c>
      <c r="D32" s="13"/>
      <c r="E32" s="13"/>
      <c r="F32" s="13"/>
      <c r="G32" s="13"/>
      <c r="H32" s="13"/>
      <c r="I32" s="14"/>
      <c r="J32" s="15">
        <f>sum(J30:J31)</f>
        <v>400000</v>
      </c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34" t="s">
        <v>60</v>
      </c>
      <c r="C33" s="18"/>
      <c r="D33" s="18"/>
      <c r="E33" s="18"/>
      <c r="F33" s="18"/>
      <c r="G33" s="18"/>
      <c r="H33" s="18"/>
      <c r="I33" s="19"/>
      <c r="J33" s="35">
        <v>200000.0</v>
      </c>
      <c r="K33" s="3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37" t="s">
        <v>61</v>
      </c>
      <c r="C34" s="18"/>
      <c r="D34" s="18"/>
      <c r="E34" s="18"/>
      <c r="F34" s="18"/>
      <c r="G34" s="18"/>
      <c r="H34" s="18"/>
      <c r="I34" s="19"/>
      <c r="J34" s="38">
        <f>J17+J22+J26+J29+J32+J33-50000</f>
        <v>7500000</v>
      </c>
      <c r="K34" s="39" t="s">
        <v>62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40"/>
      <c r="J35" s="4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7" t="s">
        <v>63</v>
      </c>
      <c r="C36" s="18"/>
      <c r="D36" s="18"/>
      <c r="E36" s="18"/>
      <c r="F36" s="18"/>
      <c r="G36" s="18"/>
      <c r="H36" s="18"/>
      <c r="I36" s="19"/>
      <c r="J36" s="20"/>
      <c r="K36" s="2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21" t="s">
        <v>64</v>
      </c>
      <c r="C37" s="22"/>
      <c r="D37" s="22"/>
      <c r="E37" s="22"/>
      <c r="F37" s="22"/>
      <c r="G37" s="22"/>
      <c r="H37" s="22"/>
      <c r="I37" s="22"/>
      <c r="J37" s="22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5" t="s">
        <v>48</v>
      </c>
      <c r="C38" s="41" t="s">
        <v>49</v>
      </c>
      <c r="D38" s="6" t="s">
        <v>50</v>
      </c>
      <c r="E38" s="7">
        <v>1.0</v>
      </c>
      <c r="F38" s="7" t="s">
        <v>13</v>
      </c>
      <c r="G38" s="7">
        <v>1.0</v>
      </c>
      <c r="H38" s="7" t="s">
        <v>14</v>
      </c>
      <c r="I38" s="8">
        <v>200000.0</v>
      </c>
      <c r="J38" s="8">
        <f t="shared" ref="J38:J40" si="6">E38*G38*I38</f>
        <v>200000</v>
      </c>
      <c r="K38" s="24" t="s">
        <v>65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0"/>
      <c r="C39" s="10"/>
      <c r="D39" s="6" t="s">
        <v>66</v>
      </c>
      <c r="E39" s="7">
        <v>1.0</v>
      </c>
      <c r="F39" s="7" t="s">
        <v>13</v>
      </c>
      <c r="G39" s="7">
        <v>1.0</v>
      </c>
      <c r="H39" s="7" t="s">
        <v>14</v>
      </c>
      <c r="I39" s="8">
        <v>250000.0</v>
      </c>
      <c r="J39" s="8">
        <f t="shared" si="6"/>
        <v>250000</v>
      </c>
      <c r="K39" s="24" t="s">
        <v>67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0"/>
      <c r="C40" s="10"/>
      <c r="D40" s="6" t="s">
        <v>68</v>
      </c>
      <c r="E40" s="7">
        <v>1.0</v>
      </c>
      <c r="F40" s="7" t="s">
        <v>13</v>
      </c>
      <c r="G40" s="7">
        <v>1.0</v>
      </c>
      <c r="H40" s="7" t="s">
        <v>14</v>
      </c>
      <c r="I40" s="8">
        <v>250000.0</v>
      </c>
      <c r="J40" s="8">
        <f t="shared" si="6"/>
        <v>250000</v>
      </c>
      <c r="K40" s="24" t="s">
        <v>69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0"/>
      <c r="C41" s="27"/>
      <c r="D41" s="6" t="s">
        <v>70</v>
      </c>
      <c r="E41" s="7">
        <v>1.0</v>
      </c>
      <c r="F41" s="7" t="s">
        <v>13</v>
      </c>
      <c r="G41" s="7">
        <v>1.0</v>
      </c>
      <c r="H41" s="7" t="s">
        <v>14</v>
      </c>
      <c r="I41" s="42" t="s">
        <v>71</v>
      </c>
      <c r="J41" s="42" t="s">
        <v>71</v>
      </c>
      <c r="K41" s="43" t="s">
        <v>72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0"/>
      <c r="C42" s="41" t="s">
        <v>55</v>
      </c>
      <c r="D42" s="6" t="s">
        <v>73</v>
      </c>
      <c r="E42" s="7">
        <v>1.0</v>
      </c>
      <c r="F42" s="7" t="s">
        <v>13</v>
      </c>
      <c r="G42" s="7">
        <v>1.0</v>
      </c>
      <c r="H42" s="7" t="s">
        <v>14</v>
      </c>
      <c r="I42" s="8">
        <v>100000.0</v>
      </c>
      <c r="J42" s="8">
        <f t="shared" ref="J42:J45" si="7">E42*G42*I42</f>
        <v>100000</v>
      </c>
      <c r="K42" s="2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0"/>
      <c r="C43" s="10"/>
      <c r="D43" s="6" t="s">
        <v>74</v>
      </c>
      <c r="E43" s="7">
        <v>1.0</v>
      </c>
      <c r="F43" s="7" t="s">
        <v>13</v>
      </c>
      <c r="G43" s="7">
        <v>1.0</v>
      </c>
      <c r="H43" s="7" t="s">
        <v>14</v>
      </c>
      <c r="I43" s="8">
        <v>100000.0</v>
      </c>
      <c r="J43" s="8">
        <f t="shared" si="7"/>
        <v>100000</v>
      </c>
      <c r="K43" s="44" t="s">
        <v>75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0"/>
      <c r="C44" s="10"/>
      <c r="D44" s="6" t="s">
        <v>76</v>
      </c>
      <c r="E44" s="7">
        <v>1.0</v>
      </c>
      <c r="F44" s="7" t="s">
        <v>13</v>
      </c>
      <c r="G44" s="7">
        <v>1.0</v>
      </c>
      <c r="H44" s="7" t="s">
        <v>14</v>
      </c>
      <c r="I44" s="8">
        <v>800000.0</v>
      </c>
      <c r="J44" s="8">
        <f t="shared" si="7"/>
        <v>800000</v>
      </c>
      <c r="K44" s="44" t="s">
        <v>77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27"/>
      <c r="C45" s="27"/>
      <c r="D45" s="6" t="s">
        <v>58</v>
      </c>
      <c r="E45" s="7">
        <v>1.0</v>
      </c>
      <c r="F45" s="7" t="s">
        <v>13</v>
      </c>
      <c r="G45" s="7">
        <v>1.0</v>
      </c>
      <c r="H45" s="7" t="s">
        <v>14</v>
      </c>
      <c r="I45" s="8">
        <v>200000.0</v>
      </c>
      <c r="J45" s="8">
        <f t="shared" si="7"/>
        <v>200000</v>
      </c>
      <c r="K45" s="31" t="s">
        <v>59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</sheetData>
  <mergeCells count="22">
    <mergeCell ref="C18:C21"/>
    <mergeCell ref="C22:I22"/>
    <mergeCell ref="C23:C25"/>
    <mergeCell ref="C26:I26"/>
    <mergeCell ref="C29:I29"/>
    <mergeCell ref="C32:I32"/>
    <mergeCell ref="B33:I33"/>
    <mergeCell ref="B34:I34"/>
    <mergeCell ref="B36:I36"/>
    <mergeCell ref="B27:B32"/>
    <mergeCell ref="C27:C28"/>
    <mergeCell ref="C30:C31"/>
    <mergeCell ref="B38:B45"/>
    <mergeCell ref="C38:C41"/>
    <mergeCell ref="C42:C45"/>
    <mergeCell ref="B5:B6"/>
    <mergeCell ref="C5:C6"/>
    <mergeCell ref="B7:I7"/>
    <mergeCell ref="B9:I9"/>
    <mergeCell ref="B12:B26"/>
    <mergeCell ref="C12:C16"/>
    <mergeCell ref="C17:I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18.0"/>
    <col customWidth="1" min="4" max="4" width="62.29"/>
    <col customWidth="1" min="5" max="27" width="8.71"/>
  </cols>
  <sheetData>
    <row r="1">
      <c r="A1" s="45"/>
      <c r="B1" s="45" t="s">
        <v>78</v>
      </c>
    </row>
    <row r="3">
      <c r="A3" s="46"/>
      <c r="B3" s="46" t="s">
        <v>79</v>
      </c>
    </row>
    <row r="5">
      <c r="B5" s="47" t="s">
        <v>80</v>
      </c>
      <c r="C5" s="47" t="s">
        <v>7</v>
      </c>
      <c r="D5" s="47" t="s">
        <v>9</v>
      </c>
    </row>
    <row r="6">
      <c r="A6" s="48"/>
      <c r="B6" s="49" t="s">
        <v>81</v>
      </c>
      <c r="C6" s="50">
        <v>150000.0</v>
      </c>
      <c r="D6" s="51" t="s">
        <v>82</v>
      </c>
    </row>
    <row r="7">
      <c r="A7" s="48"/>
      <c r="B7" s="49" t="s">
        <v>83</v>
      </c>
      <c r="C7" s="50">
        <v>350000.0</v>
      </c>
      <c r="D7" s="51" t="s">
        <v>84</v>
      </c>
    </row>
    <row r="8">
      <c r="B8" s="52" t="s">
        <v>85</v>
      </c>
      <c r="C8" s="53">
        <f>SUM(C6:C7)</f>
        <v>500000</v>
      </c>
      <c r="D8" s="49"/>
    </row>
    <row r="9">
      <c r="B9" s="54" t="s">
        <v>86</v>
      </c>
      <c r="C9" s="55">
        <f>C8*2</f>
        <v>1000000</v>
      </c>
      <c r="D9" s="51" t="s">
        <v>87</v>
      </c>
    </row>
    <row r="11">
      <c r="B11" s="56" t="s">
        <v>88</v>
      </c>
    </row>
    <row r="13">
      <c r="B13" s="47" t="s">
        <v>80</v>
      </c>
      <c r="C13" s="47" t="s">
        <v>7</v>
      </c>
      <c r="D13" s="47" t="s">
        <v>9</v>
      </c>
    </row>
    <row r="14">
      <c r="B14" s="57" t="s">
        <v>89</v>
      </c>
      <c r="C14" s="50">
        <v>200000.0</v>
      </c>
      <c r="D14" s="51" t="s">
        <v>90</v>
      </c>
    </row>
    <row r="15">
      <c r="B15" s="57" t="s">
        <v>91</v>
      </c>
      <c r="C15" s="50">
        <v>200000.0</v>
      </c>
      <c r="D15" s="51" t="s">
        <v>92</v>
      </c>
    </row>
    <row r="16">
      <c r="B16" s="51" t="s">
        <v>93</v>
      </c>
      <c r="C16" s="50">
        <v>600000.0</v>
      </c>
      <c r="D16" s="51" t="s">
        <v>94</v>
      </c>
    </row>
    <row r="17">
      <c r="B17" s="51" t="s">
        <v>95</v>
      </c>
      <c r="C17" s="58">
        <v>300000.0</v>
      </c>
      <c r="D17" s="57" t="s">
        <v>96</v>
      </c>
    </row>
    <row r="18">
      <c r="B18" s="51" t="s">
        <v>34</v>
      </c>
      <c r="C18" s="58">
        <v>800000.0</v>
      </c>
      <c r="D18" s="57" t="s">
        <v>97</v>
      </c>
    </row>
    <row r="19">
      <c r="B19" s="54" t="s">
        <v>98</v>
      </c>
      <c r="C19" s="55">
        <f>SUM(C14:C18)</f>
        <v>2100000</v>
      </c>
      <c r="D19" s="59" t="s">
        <v>99</v>
      </c>
    </row>
    <row r="20" ht="15.75" customHeight="1">
      <c r="B20" s="60" t="s">
        <v>100</v>
      </c>
    </row>
    <row r="21" ht="15.75" customHeight="1"/>
    <row r="22" ht="15.75" customHeight="1">
      <c r="B22" s="56" t="s">
        <v>101</v>
      </c>
    </row>
    <row r="23" ht="15.75" customHeight="1"/>
    <row r="24" ht="15.75" customHeight="1">
      <c r="B24" s="47" t="s">
        <v>80</v>
      </c>
      <c r="C24" s="47" t="s">
        <v>7</v>
      </c>
      <c r="D24" s="47" t="s">
        <v>9</v>
      </c>
    </row>
    <row r="25" ht="15.75" customHeight="1">
      <c r="B25" s="51" t="s">
        <v>24</v>
      </c>
      <c r="C25" s="50">
        <v>300000.0</v>
      </c>
      <c r="D25" s="57" t="s">
        <v>102</v>
      </c>
    </row>
    <row r="26" ht="15.75" customHeight="1">
      <c r="B26" s="61" t="s">
        <v>103</v>
      </c>
      <c r="C26" s="58">
        <v>500000.0</v>
      </c>
      <c r="D26" s="57" t="s">
        <v>104</v>
      </c>
    </row>
    <row r="27" ht="15.75" customHeight="1">
      <c r="B27" s="51" t="s">
        <v>43</v>
      </c>
      <c r="C27" s="50">
        <v>600000.0</v>
      </c>
      <c r="D27" s="59" t="s">
        <v>105</v>
      </c>
    </row>
    <row r="28" ht="15.75" customHeight="1">
      <c r="B28" s="51" t="s">
        <v>106</v>
      </c>
      <c r="C28" s="50">
        <v>800000.0</v>
      </c>
      <c r="D28" s="57" t="s">
        <v>107</v>
      </c>
    </row>
    <row r="29" ht="15.75" customHeight="1">
      <c r="B29" s="52" t="s">
        <v>108</v>
      </c>
      <c r="C29" s="62">
        <f>SUM(C25:C28)</f>
        <v>2200000</v>
      </c>
      <c r="D29" s="59" t="s">
        <v>109</v>
      </c>
    </row>
    <row r="30" ht="15.75" customHeight="1">
      <c r="B30" s="54" t="s">
        <v>110</v>
      </c>
      <c r="C30" s="55">
        <f>C29*2</f>
        <v>4400000</v>
      </c>
      <c r="D30" s="59" t="s">
        <v>111</v>
      </c>
    </row>
    <row r="31" ht="15.75" customHeight="1">
      <c r="B31" s="60" t="s">
        <v>112</v>
      </c>
    </row>
    <row r="32" ht="15.75" customHeight="1"/>
    <row r="33" ht="15.75" customHeight="1">
      <c r="B33" s="46" t="s">
        <v>113</v>
      </c>
    </row>
    <row r="34" ht="15.75" customHeight="1"/>
    <row r="35" ht="15.75" customHeight="1">
      <c r="B35" s="47" t="s">
        <v>80</v>
      </c>
      <c r="C35" s="47" t="s">
        <v>7</v>
      </c>
      <c r="D35" s="47" t="s">
        <v>9</v>
      </c>
    </row>
    <row r="36" ht="15.75" customHeight="1">
      <c r="B36" s="51" t="s">
        <v>114</v>
      </c>
      <c r="C36" s="50">
        <v>150000.0</v>
      </c>
      <c r="D36" s="51" t="s">
        <v>115</v>
      </c>
    </row>
    <row r="37" ht="15.75" customHeight="1">
      <c r="B37" s="51" t="s">
        <v>116</v>
      </c>
      <c r="C37" s="50">
        <v>250000.0</v>
      </c>
      <c r="D37" s="51" t="s">
        <v>117</v>
      </c>
    </row>
    <row r="38" ht="15.75" customHeight="1">
      <c r="B38" s="51" t="s">
        <v>118</v>
      </c>
      <c r="C38" s="50">
        <v>400000.0</v>
      </c>
      <c r="D38" s="57" t="s">
        <v>119</v>
      </c>
    </row>
    <row r="39" ht="15.75" customHeight="1">
      <c r="B39" s="63" t="s">
        <v>85</v>
      </c>
      <c r="C39" s="62">
        <f>SUM(C36:C38)</f>
        <v>800000</v>
      </c>
      <c r="D39" s="49"/>
    </row>
    <row r="40" ht="15.75" customHeight="1">
      <c r="B40" s="54" t="s">
        <v>120</v>
      </c>
      <c r="C40" s="55">
        <f>C39*1</f>
        <v>800000</v>
      </c>
      <c r="D40" s="49"/>
    </row>
    <row r="41" ht="15.75" customHeight="1"/>
    <row r="42" ht="15.75" customHeight="1">
      <c r="B42" s="60" t="s">
        <v>121</v>
      </c>
    </row>
    <row r="43" ht="15.75" customHeight="1"/>
    <row r="44" ht="15.75" customHeight="1">
      <c r="B44" s="64" t="s">
        <v>122</v>
      </c>
    </row>
    <row r="45" ht="15.75" customHeight="1"/>
    <row r="46" ht="15.75" customHeight="1">
      <c r="B46" s="47" t="s">
        <v>123</v>
      </c>
      <c r="C46" s="47" t="s">
        <v>124</v>
      </c>
      <c r="D46" s="47" t="s">
        <v>9</v>
      </c>
    </row>
    <row r="47" ht="15.75" customHeight="1">
      <c r="B47" s="51" t="s">
        <v>125</v>
      </c>
      <c r="C47" s="50">
        <v>400000.0</v>
      </c>
      <c r="D47" s="51" t="s">
        <v>126</v>
      </c>
    </row>
    <row r="48" ht="15.75" customHeight="1">
      <c r="B48" s="51" t="s">
        <v>127</v>
      </c>
      <c r="C48" s="50">
        <v>200000.0</v>
      </c>
      <c r="D48" s="51" t="s">
        <v>128</v>
      </c>
    </row>
    <row r="49" ht="15.75" customHeight="1">
      <c r="B49" s="57" t="s">
        <v>116</v>
      </c>
      <c r="C49" s="58">
        <v>480000.0</v>
      </c>
      <c r="D49" s="49"/>
    </row>
    <row r="50" ht="15.75" customHeight="1">
      <c r="B50" s="49" t="s">
        <v>129</v>
      </c>
      <c r="C50" s="50">
        <v>350000.0</v>
      </c>
      <c r="D50" s="5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0.0"/>
    <col customWidth="1" min="3" max="3" width="19.86"/>
    <col customWidth="1" min="4" max="4" width="41.14"/>
    <col customWidth="1" min="5" max="6" width="15.0"/>
    <col customWidth="1" min="7" max="7" width="30.0"/>
    <col customWidth="1" min="8" max="24" width="8.71"/>
  </cols>
  <sheetData>
    <row r="1">
      <c r="A1" s="45"/>
      <c r="B1" s="45" t="s">
        <v>130</v>
      </c>
    </row>
    <row r="3">
      <c r="A3" s="65"/>
      <c r="B3" s="65" t="s">
        <v>131</v>
      </c>
    </row>
    <row r="4">
      <c r="A4" s="65"/>
    </row>
    <row r="5">
      <c r="A5" s="65"/>
      <c r="B5" s="47" t="s">
        <v>2</v>
      </c>
      <c r="C5" s="47" t="s">
        <v>132</v>
      </c>
      <c r="D5" s="47" t="s">
        <v>133</v>
      </c>
      <c r="E5" s="47" t="s">
        <v>134</v>
      </c>
      <c r="F5" s="47" t="s">
        <v>135</v>
      </c>
      <c r="G5" s="47" t="s">
        <v>9</v>
      </c>
    </row>
    <row r="6">
      <c r="A6" s="65"/>
      <c r="B6" s="51" t="s">
        <v>136</v>
      </c>
      <c r="C6" s="66">
        <v>2.0</v>
      </c>
      <c r="D6" s="67" t="s">
        <v>137</v>
      </c>
      <c r="E6" s="50">
        <v>500000.0</v>
      </c>
      <c r="F6" s="50">
        <f>C6*E6</f>
        <v>1000000</v>
      </c>
      <c r="G6" s="67" t="s">
        <v>138</v>
      </c>
    </row>
    <row r="7">
      <c r="A7" s="65"/>
      <c r="B7" s="51" t="s">
        <v>139</v>
      </c>
      <c r="C7" s="66">
        <v>3.0</v>
      </c>
      <c r="D7" s="67" t="s">
        <v>140</v>
      </c>
      <c r="E7" s="68" t="s">
        <v>141</v>
      </c>
      <c r="F7" s="58">
        <f>'콘텐츠별세부단가'!$C$19</f>
        <v>2100000</v>
      </c>
      <c r="G7" s="67" t="s">
        <v>142</v>
      </c>
    </row>
    <row r="8">
      <c r="A8" s="65"/>
      <c r="B8" s="51" t="s">
        <v>143</v>
      </c>
      <c r="C8" s="66">
        <v>6.0</v>
      </c>
      <c r="D8" s="69" t="s">
        <v>144</v>
      </c>
      <c r="E8" s="70" t="s">
        <v>145</v>
      </c>
      <c r="F8" s="50">
        <f>'콘텐츠별세부단가'!$C$30</f>
        <v>4400000</v>
      </c>
      <c r="G8" s="67" t="s">
        <v>146</v>
      </c>
    </row>
    <row r="9">
      <c r="A9" s="65"/>
      <c r="B9" s="51" t="s">
        <v>147</v>
      </c>
      <c r="C9" s="66">
        <v>1.0</v>
      </c>
      <c r="D9" s="67" t="s">
        <v>137</v>
      </c>
      <c r="E9" s="50">
        <v>800000.0</v>
      </c>
      <c r="F9" s="50">
        <f>C9*E9</f>
        <v>800000</v>
      </c>
      <c r="G9" s="67" t="s">
        <v>148</v>
      </c>
    </row>
    <row r="10">
      <c r="A10" s="65"/>
      <c r="B10" s="71" t="s">
        <v>149</v>
      </c>
      <c r="C10" s="72">
        <f>SUM(C6:C9)</f>
        <v>12</v>
      </c>
      <c r="D10" s="73"/>
      <c r="E10" s="72"/>
      <c r="F10" s="53">
        <f>SUM(F6:F9)</f>
        <v>8300000</v>
      </c>
      <c r="G10" s="73"/>
    </row>
    <row r="11">
      <c r="A11" s="65"/>
      <c r="B11" s="51" t="s">
        <v>150</v>
      </c>
      <c r="C11" s="66" t="s">
        <v>71</v>
      </c>
      <c r="D11" s="67" t="s">
        <v>151</v>
      </c>
      <c r="E11" s="66"/>
      <c r="F11" s="50">
        <v>200000.0</v>
      </c>
      <c r="G11" s="74" t="s">
        <v>152</v>
      </c>
    </row>
    <row r="12">
      <c r="A12" s="65"/>
      <c r="B12" s="54" t="s">
        <v>153</v>
      </c>
      <c r="C12" s="75"/>
      <c r="D12" s="76"/>
      <c r="E12" s="75"/>
      <c r="F12" s="55">
        <f>F10+F11</f>
        <v>8500000</v>
      </c>
      <c r="G12" s="76"/>
    </row>
    <row r="13">
      <c r="A13" s="65"/>
    </row>
    <row r="14">
      <c r="A14" s="65"/>
      <c r="B14" s="77" t="s">
        <v>154</v>
      </c>
    </row>
    <row r="15">
      <c r="A15" s="65"/>
      <c r="B15" s="47" t="s">
        <v>2</v>
      </c>
      <c r="C15" s="47" t="s">
        <v>132</v>
      </c>
      <c r="D15" s="47" t="s">
        <v>133</v>
      </c>
      <c r="E15" s="47" t="s">
        <v>134</v>
      </c>
      <c r="F15" s="47" t="s">
        <v>135</v>
      </c>
      <c r="G15" s="47" t="s">
        <v>9</v>
      </c>
    </row>
    <row r="16">
      <c r="A16" s="65"/>
      <c r="B16" s="57" t="s">
        <v>155</v>
      </c>
      <c r="C16" s="66">
        <v>3.0</v>
      </c>
      <c r="D16" s="67" t="s">
        <v>156</v>
      </c>
      <c r="E16" s="68" t="s">
        <v>157</v>
      </c>
      <c r="F16" s="58">
        <f>'콘텐츠별세부단가'!$C$19</f>
        <v>2100000</v>
      </c>
      <c r="G16" s="67" t="s">
        <v>158</v>
      </c>
    </row>
    <row r="17">
      <c r="A17" s="65"/>
      <c r="B17" s="61" t="s">
        <v>159</v>
      </c>
      <c r="C17" s="78">
        <v>3.0</v>
      </c>
      <c r="D17" s="69" t="s">
        <v>160</v>
      </c>
      <c r="E17" s="70" t="s">
        <v>161</v>
      </c>
      <c r="F17" s="50">
        <f>'콘텐츠별세부단가'!$C$29</f>
        <v>2200000</v>
      </c>
      <c r="G17" s="67"/>
    </row>
    <row r="18">
      <c r="A18" s="65"/>
      <c r="B18" s="57" t="s">
        <v>162</v>
      </c>
      <c r="C18" s="78">
        <v>2.0</v>
      </c>
      <c r="D18" s="67"/>
      <c r="E18" s="70" t="s">
        <v>163</v>
      </c>
      <c r="F18" s="50">
        <f>'콘텐츠별세부단가'!$C$29</f>
        <v>2200000</v>
      </c>
      <c r="G18" s="67"/>
    </row>
    <row r="19">
      <c r="A19" s="65"/>
      <c r="B19" s="71" t="s">
        <v>149</v>
      </c>
      <c r="C19" s="72">
        <f>SUM(C15:C18)</f>
        <v>8</v>
      </c>
      <c r="D19" s="73"/>
      <c r="E19" s="72"/>
      <c r="F19" s="53">
        <f>SUM(F15:F18)</f>
        <v>6500000</v>
      </c>
      <c r="G19" s="73"/>
    </row>
    <row r="20">
      <c r="A20" s="65"/>
      <c r="B20" s="51" t="s">
        <v>164</v>
      </c>
      <c r="C20" s="66">
        <v>2.0</v>
      </c>
      <c r="D20" s="67" t="s">
        <v>137</v>
      </c>
      <c r="E20" s="50">
        <v>500000.0</v>
      </c>
      <c r="F20" s="50">
        <f>C20*E20</f>
        <v>1000000</v>
      </c>
      <c r="G20" s="67" t="s">
        <v>165</v>
      </c>
    </row>
    <row r="21">
      <c r="A21" s="65"/>
      <c r="B21" s="51" t="s">
        <v>150</v>
      </c>
      <c r="C21" s="66" t="s">
        <v>71</v>
      </c>
      <c r="D21" s="67" t="s">
        <v>151</v>
      </c>
      <c r="E21" s="66"/>
      <c r="F21" s="50">
        <v>200000.0</v>
      </c>
      <c r="G21" s="74" t="s">
        <v>166</v>
      </c>
    </row>
    <row r="22">
      <c r="A22" s="65"/>
      <c r="B22" s="54" t="s">
        <v>153</v>
      </c>
      <c r="C22" s="75"/>
      <c r="D22" s="76"/>
      <c r="E22" s="75"/>
      <c r="F22" s="55">
        <f>sum(F19:F21)</f>
        <v>7700000</v>
      </c>
      <c r="G22" s="79" t="s">
        <v>167</v>
      </c>
    </row>
    <row r="23">
      <c r="A23" s="65"/>
    </row>
    <row r="24">
      <c r="A24" s="65"/>
    </row>
    <row r="25">
      <c r="A25" s="65"/>
      <c r="B25" s="80" t="s">
        <v>168</v>
      </c>
    </row>
    <row r="26">
      <c r="A26" s="65"/>
    </row>
    <row r="27">
      <c r="A27" s="65"/>
      <c r="B27" s="47" t="s">
        <v>80</v>
      </c>
      <c r="C27" s="47" t="s">
        <v>8</v>
      </c>
      <c r="D27" s="47" t="s">
        <v>9</v>
      </c>
    </row>
    <row r="28">
      <c r="A28" s="65"/>
      <c r="B28" s="51" t="s">
        <v>169</v>
      </c>
      <c r="C28" s="50">
        <v>1000000.0</v>
      </c>
      <c r="D28" s="57" t="s">
        <v>170</v>
      </c>
    </row>
    <row r="29">
      <c r="A29" s="65"/>
      <c r="B29" s="57" t="s">
        <v>171</v>
      </c>
      <c r="C29" s="58">
        <v>1000000.0</v>
      </c>
      <c r="D29" s="57" t="s">
        <v>172</v>
      </c>
    </row>
    <row r="30">
      <c r="A30" s="65"/>
      <c r="B30" s="81" t="s">
        <v>173</v>
      </c>
      <c r="C30" s="82">
        <f>SUM(C28:C29)</f>
        <v>2000000</v>
      </c>
      <c r="D30" s="51" t="s">
        <v>174</v>
      </c>
    </row>
    <row r="31" ht="15.75" customHeight="1">
      <c r="A31" s="65"/>
    </row>
    <row r="32" ht="15.75" customHeight="1">
      <c r="A32" s="65"/>
      <c r="B32" s="83" t="s">
        <v>175</v>
      </c>
    </row>
    <row r="33" ht="15.75" customHeight="1">
      <c r="A33" s="65"/>
      <c r="B33" s="47" t="s">
        <v>80</v>
      </c>
      <c r="C33" s="47" t="s">
        <v>8</v>
      </c>
      <c r="D33" s="47" t="s">
        <v>9</v>
      </c>
    </row>
    <row r="34" ht="15.75" customHeight="1">
      <c r="A34" s="65"/>
      <c r="B34" s="57" t="s">
        <v>176</v>
      </c>
      <c r="C34" s="58">
        <v>300000.0</v>
      </c>
      <c r="D34" s="57" t="s">
        <v>177</v>
      </c>
    </row>
    <row r="35" ht="15.75" customHeight="1">
      <c r="A35" s="65"/>
      <c r="B35" s="84" t="s">
        <v>178</v>
      </c>
      <c r="C35" s="82">
        <f>SUM(C34)</f>
        <v>300000</v>
      </c>
      <c r="D35" s="57" t="s">
        <v>179</v>
      </c>
    </row>
    <row r="36" ht="15.75" customHeight="1">
      <c r="A36" s="65"/>
    </row>
    <row r="37" ht="15.75" customHeight="1">
      <c r="A37" s="65"/>
    </row>
    <row r="38" ht="15.75" customHeight="1">
      <c r="A38" s="65"/>
    </row>
    <row r="39" ht="15.75" customHeight="1">
      <c r="A39" s="65"/>
    </row>
    <row r="40" ht="15.75" customHeight="1">
      <c r="A40" s="65"/>
    </row>
    <row r="41" ht="15.75" customHeight="1">
      <c r="A41" s="65"/>
    </row>
    <row r="42" ht="15.75" customHeight="1">
      <c r="A42" s="65"/>
    </row>
    <row r="43" ht="15.75" customHeight="1">
      <c r="A43" s="65"/>
    </row>
    <row r="44" ht="15.75" customHeight="1">
      <c r="A44" s="65"/>
    </row>
    <row r="45" ht="15.75" customHeight="1">
      <c r="A45" s="65"/>
    </row>
    <row r="46" ht="15.75" customHeight="1">
      <c r="A46" s="65"/>
    </row>
    <row r="47" ht="15.75" customHeight="1">
      <c r="A47" s="65"/>
    </row>
    <row r="48" ht="15.75" customHeight="1">
      <c r="A48" s="65"/>
    </row>
    <row r="49" ht="15.75" customHeight="1">
      <c r="A49" s="65"/>
    </row>
    <row r="50" ht="15.75" customHeight="1">
      <c r="A50" s="65"/>
    </row>
    <row r="51" ht="15.75" customHeight="1">
      <c r="A51" s="65"/>
    </row>
    <row r="52" ht="15.75" customHeight="1">
      <c r="A52" s="65"/>
    </row>
    <row r="53" ht="15.75" customHeight="1">
      <c r="A53" s="65"/>
    </row>
    <row r="54" ht="15.75" customHeight="1">
      <c r="A54" s="65"/>
    </row>
    <row r="55" ht="15.75" customHeight="1">
      <c r="A55" s="65"/>
    </row>
    <row r="56" ht="15.75" customHeight="1">
      <c r="A56" s="65"/>
    </row>
    <row r="57" ht="15.75" customHeight="1">
      <c r="A57" s="65"/>
    </row>
    <row r="58" ht="15.75" customHeight="1">
      <c r="A58" s="65"/>
    </row>
    <row r="59" ht="15.75" customHeight="1">
      <c r="A59" s="65"/>
    </row>
    <row r="60" ht="15.75" customHeight="1">
      <c r="A60" s="65"/>
    </row>
    <row r="61" ht="15.75" customHeight="1">
      <c r="A61" s="65"/>
    </row>
    <row r="62" ht="15.75" customHeight="1">
      <c r="A62" s="65"/>
    </row>
    <row r="63" ht="15.75" customHeight="1">
      <c r="A63" s="65"/>
    </row>
    <row r="64" ht="15.75" customHeight="1">
      <c r="A64" s="65"/>
    </row>
    <row r="65" ht="15.75" customHeight="1">
      <c r="A65" s="65"/>
    </row>
    <row r="66" ht="15.75" customHeight="1">
      <c r="A66" s="65"/>
    </row>
    <row r="67" ht="15.75" customHeight="1">
      <c r="A67" s="65"/>
    </row>
    <row r="68" ht="15.75" customHeight="1">
      <c r="A68" s="65"/>
    </row>
    <row r="69" ht="15.75" customHeight="1">
      <c r="A69" s="65"/>
    </row>
    <row r="70" ht="15.75" customHeight="1">
      <c r="A70" s="65"/>
    </row>
    <row r="71" ht="15.75" customHeight="1">
      <c r="A71" s="65"/>
    </row>
    <row r="72" ht="15.75" customHeight="1">
      <c r="A72" s="65"/>
    </row>
    <row r="73" ht="15.75" customHeight="1">
      <c r="A73" s="65"/>
    </row>
    <row r="74" ht="15.75" customHeight="1">
      <c r="A74" s="65"/>
    </row>
    <row r="75" ht="15.75" customHeight="1">
      <c r="A75" s="65"/>
    </row>
    <row r="76" ht="15.75" customHeight="1">
      <c r="A76" s="65"/>
    </row>
    <row r="77" ht="15.75" customHeight="1">
      <c r="A77" s="65"/>
    </row>
    <row r="78" ht="15.75" customHeight="1">
      <c r="A78" s="65"/>
    </row>
    <row r="79" ht="15.75" customHeight="1">
      <c r="A79" s="65"/>
    </row>
    <row r="80" ht="15.75" customHeight="1">
      <c r="A80" s="65"/>
    </row>
    <row r="81" ht="15.75" customHeight="1">
      <c r="A81" s="65"/>
    </row>
    <row r="82" ht="15.75" customHeight="1">
      <c r="A82" s="65"/>
    </row>
    <row r="83" ht="15.75" customHeight="1">
      <c r="A83" s="65"/>
    </row>
    <row r="84" ht="15.75" customHeight="1">
      <c r="A84" s="65"/>
    </row>
    <row r="85" ht="15.75" customHeight="1">
      <c r="A85" s="65"/>
    </row>
    <row r="86" ht="15.75" customHeight="1">
      <c r="A86" s="65"/>
    </row>
    <row r="87" ht="15.75" customHeight="1">
      <c r="A87" s="65"/>
    </row>
    <row r="88" ht="15.75" customHeight="1">
      <c r="A88" s="65"/>
    </row>
    <row r="89" ht="15.75" customHeight="1">
      <c r="A89" s="65"/>
    </row>
    <row r="90" ht="15.75" customHeight="1">
      <c r="A90" s="65"/>
    </row>
    <row r="91" ht="15.75" customHeight="1">
      <c r="A91" s="65"/>
    </row>
    <row r="92" ht="15.75" customHeight="1">
      <c r="A92" s="65"/>
    </row>
    <row r="93" ht="15.75" customHeight="1">
      <c r="A93" s="65"/>
    </row>
    <row r="94" ht="15.75" customHeight="1">
      <c r="A94" s="65"/>
    </row>
    <row r="95" ht="15.75" customHeight="1">
      <c r="A95" s="65"/>
    </row>
    <row r="96" ht="15.75" customHeight="1">
      <c r="A96" s="65"/>
    </row>
    <row r="97" ht="15.75" customHeight="1">
      <c r="A97" s="65"/>
    </row>
    <row r="98" ht="15.75" customHeight="1">
      <c r="A98" s="65"/>
    </row>
    <row r="99" ht="15.75" customHeight="1">
      <c r="A99" s="65"/>
    </row>
    <row r="100" ht="15.75" customHeight="1">
      <c r="A100" s="65"/>
    </row>
    <row r="101" ht="15.75" customHeight="1">
      <c r="A101" s="65"/>
    </row>
    <row r="102" ht="15.75" customHeight="1">
      <c r="A102" s="65"/>
    </row>
    <row r="103" ht="15.75" customHeight="1">
      <c r="A103" s="65"/>
    </row>
    <row r="104" ht="15.75" customHeight="1">
      <c r="A104" s="65"/>
    </row>
    <row r="105" ht="15.75" customHeight="1">
      <c r="A105" s="65"/>
    </row>
    <row r="106" ht="15.75" customHeight="1">
      <c r="A106" s="65"/>
    </row>
    <row r="107" ht="15.75" customHeight="1">
      <c r="A107" s="65"/>
    </row>
    <row r="108" ht="15.75" customHeight="1">
      <c r="A108" s="65"/>
    </row>
    <row r="109" ht="15.75" customHeight="1">
      <c r="A109" s="65"/>
    </row>
    <row r="110" ht="15.75" customHeight="1">
      <c r="A110" s="65"/>
    </row>
    <row r="111" ht="15.75" customHeight="1">
      <c r="A111" s="65"/>
    </row>
    <row r="112" ht="15.75" customHeight="1">
      <c r="A112" s="65"/>
    </row>
    <row r="113" ht="15.75" customHeight="1">
      <c r="A113" s="65"/>
    </row>
    <row r="114" ht="15.75" customHeight="1">
      <c r="A114" s="65"/>
    </row>
    <row r="115" ht="15.75" customHeight="1">
      <c r="A115" s="65"/>
    </row>
    <row r="116" ht="15.75" customHeight="1">
      <c r="A116" s="65"/>
    </row>
    <row r="117" ht="15.75" customHeight="1">
      <c r="A117" s="65"/>
    </row>
    <row r="118" ht="15.75" customHeight="1">
      <c r="A118" s="65"/>
    </row>
    <row r="119" ht="15.75" customHeight="1">
      <c r="A119" s="65"/>
    </row>
    <row r="120" ht="15.75" customHeight="1">
      <c r="A120" s="65"/>
    </row>
    <row r="121" ht="15.75" customHeight="1">
      <c r="A121" s="65"/>
    </row>
    <row r="122" ht="15.75" customHeight="1">
      <c r="A122" s="65"/>
    </row>
    <row r="123" ht="15.75" customHeight="1">
      <c r="A123" s="65"/>
    </row>
    <row r="124" ht="15.75" customHeight="1">
      <c r="A124" s="65"/>
    </row>
    <row r="125" ht="15.75" customHeight="1">
      <c r="A125" s="65"/>
    </row>
    <row r="126" ht="15.75" customHeight="1">
      <c r="A126" s="65"/>
    </row>
    <row r="127" ht="15.75" customHeight="1">
      <c r="A127" s="65"/>
    </row>
    <row r="128" ht="15.75" customHeight="1">
      <c r="A128" s="65"/>
    </row>
    <row r="129" ht="15.75" customHeight="1">
      <c r="A129" s="65"/>
    </row>
    <row r="130" ht="15.75" customHeight="1">
      <c r="A130" s="65"/>
    </row>
    <row r="131" ht="15.75" customHeight="1">
      <c r="A131" s="65"/>
    </row>
    <row r="132" ht="15.75" customHeight="1">
      <c r="A132" s="65"/>
    </row>
    <row r="133" ht="15.75" customHeight="1">
      <c r="A133" s="65"/>
    </row>
    <row r="134" ht="15.75" customHeight="1">
      <c r="A134" s="65"/>
    </row>
    <row r="135" ht="15.75" customHeight="1">
      <c r="A135" s="65"/>
    </row>
    <row r="136" ht="15.75" customHeight="1">
      <c r="A136" s="65"/>
    </row>
    <row r="137" ht="15.75" customHeight="1">
      <c r="A137" s="65"/>
    </row>
    <row r="138" ht="15.75" customHeight="1">
      <c r="A138" s="65"/>
    </row>
    <row r="139" ht="15.75" customHeight="1">
      <c r="A139" s="65"/>
    </row>
    <row r="140" ht="15.75" customHeight="1">
      <c r="A140" s="65"/>
    </row>
    <row r="141" ht="15.75" customHeight="1">
      <c r="A141" s="65"/>
    </row>
    <row r="142" ht="15.75" customHeight="1">
      <c r="A142" s="65"/>
    </row>
    <row r="143" ht="15.75" customHeight="1">
      <c r="A143" s="65"/>
    </row>
    <row r="144" ht="15.75" customHeight="1">
      <c r="A144" s="65"/>
    </row>
    <row r="145" ht="15.75" customHeight="1">
      <c r="A145" s="65"/>
    </row>
    <row r="146" ht="15.75" customHeight="1">
      <c r="A146" s="65"/>
    </row>
    <row r="147" ht="15.75" customHeight="1">
      <c r="A147" s="65"/>
    </row>
    <row r="148" ht="15.75" customHeight="1">
      <c r="A148" s="65"/>
    </row>
    <row r="149" ht="15.75" customHeight="1">
      <c r="A149" s="65"/>
    </row>
    <row r="150" ht="15.75" customHeight="1">
      <c r="A150" s="65"/>
    </row>
    <row r="151" ht="15.75" customHeight="1">
      <c r="A151" s="65"/>
    </row>
    <row r="152" ht="15.75" customHeight="1">
      <c r="A152" s="65"/>
    </row>
    <row r="153" ht="15.75" customHeight="1">
      <c r="A153" s="65"/>
    </row>
    <row r="154" ht="15.75" customHeight="1">
      <c r="A154" s="65"/>
    </row>
    <row r="155" ht="15.75" customHeight="1">
      <c r="A155" s="65"/>
    </row>
    <row r="156" ht="15.75" customHeight="1">
      <c r="A156" s="65"/>
    </row>
    <row r="157" ht="15.75" customHeight="1">
      <c r="A157" s="65"/>
    </row>
    <row r="158" ht="15.75" customHeight="1">
      <c r="A158" s="65"/>
    </row>
    <row r="159" ht="15.75" customHeight="1">
      <c r="A159" s="65"/>
    </row>
    <row r="160" ht="15.75" customHeight="1">
      <c r="A160" s="65"/>
    </row>
    <row r="161" ht="15.75" customHeight="1">
      <c r="A161" s="65"/>
    </row>
    <row r="162" ht="15.75" customHeight="1">
      <c r="A162" s="65"/>
    </row>
    <row r="163" ht="15.75" customHeight="1">
      <c r="A163" s="65"/>
    </row>
    <row r="164" ht="15.75" customHeight="1">
      <c r="A164" s="65"/>
    </row>
    <row r="165" ht="15.75" customHeight="1">
      <c r="A165" s="65"/>
    </row>
    <row r="166" ht="15.75" customHeight="1">
      <c r="A166" s="65"/>
    </row>
    <row r="167" ht="15.75" customHeight="1">
      <c r="A167" s="65"/>
    </row>
    <row r="168" ht="15.75" customHeight="1">
      <c r="A168" s="65"/>
    </row>
    <row r="169" ht="15.75" customHeight="1">
      <c r="A169" s="65"/>
    </row>
    <row r="170" ht="15.75" customHeight="1">
      <c r="A170" s="65"/>
    </row>
    <row r="171" ht="15.75" customHeight="1">
      <c r="A171" s="65"/>
    </row>
    <row r="172" ht="15.75" customHeight="1">
      <c r="A172" s="65"/>
    </row>
    <row r="173" ht="15.75" customHeight="1">
      <c r="A173" s="65"/>
    </row>
    <row r="174" ht="15.75" customHeight="1">
      <c r="A174" s="65"/>
    </row>
    <row r="175" ht="15.75" customHeight="1">
      <c r="A175" s="65"/>
    </row>
    <row r="176" ht="15.75" customHeight="1">
      <c r="A176" s="65"/>
    </row>
    <row r="177" ht="15.75" customHeight="1">
      <c r="A177" s="65"/>
    </row>
    <row r="178" ht="15.75" customHeight="1">
      <c r="A178" s="65"/>
    </row>
    <row r="179" ht="15.75" customHeight="1">
      <c r="A179" s="65"/>
    </row>
    <row r="180" ht="15.75" customHeight="1">
      <c r="A180" s="65"/>
    </row>
    <row r="181" ht="15.75" customHeight="1">
      <c r="A181" s="65"/>
    </row>
    <row r="182" ht="15.75" customHeight="1">
      <c r="A182" s="65"/>
    </row>
    <row r="183" ht="15.75" customHeight="1">
      <c r="A183" s="65"/>
    </row>
    <row r="184" ht="15.75" customHeight="1">
      <c r="A184" s="65"/>
    </row>
    <row r="185" ht="15.75" customHeight="1">
      <c r="A185" s="65"/>
    </row>
    <row r="186" ht="15.75" customHeight="1">
      <c r="A186" s="65"/>
    </row>
    <row r="187" ht="15.75" customHeight="1">
      <c r="A187" s="65"/>
    </row>
    <row r="188" ht="15.75" customHeight="1">
      <c r="A188" s="65"/>
    </row>
    <row r="189" ht="15.75" customHeight="1">
      <c r="A189" s="65"/>
    </row>
    <row r="190" ht="15.75" customHeight="1">
      <c r="A190" s="65"/>
    </row>
    <row r="191" ht="15.75" customHeight="1">
      <c r="A191" s="65"/>
    </row>
    <row r="192" ht="15.75" customHeight="1">
      <c r="A192" s="65"/>
    </row>
    <row r="193" ht="15.75" customHeight="1">
      <c r="A193" s="65"/>
    </row>
    <row r="194" ht="15.75" customHeight="1">
      <c r="A194" s="65"/>
    </row>
    <row r="195" ht="15.75" customHeight="1">
      <c r="A195" s="65"/>
    </row>
    <row r="196" ht="15.75" customHeight="1">
      <c r="A196" s="65"/>
    </row>
    <row r="197" ht="15.75" customHeight="1">
      <c r="A197" s="65"/>
    </row>
    <row r="198" ht="15.75" customHeight="1">
      <c r="A198" s="65"/>
    </row>
    <row r="199" ht="15.75" customHeight="1">
      <c r="A199" s="65"/>
    </row>
    <row r="200" ht="15.75" customHeight="1">
      <c r="A200" s="65"/>
    </row>
    <row r="201" ht="15.75" customHeight="1">
      <c r="A201" s="65"/>
    </row>
    <row r="202" ht="15.75" customHeight="1">
      <c r="A202" s="65"/>
    </row>
    <row r="203" ht="15.75" customHeight="1">
      <c r="A203" s="65"/>
    </row>
    <row r="204" ht="15.75" customHeight="1">
      <c r="A204" s="65"/>
    </row>
    <row r="205" ht="15.75" customHeight="1">
      <c r="A205" s="65"/>
    </row>
    <row r="206" ht="15.75" customHeight="1">
      <c r="A206" s="65"/>
    </row>
    <row r="207" ht="15.75" customHeight="1">
      <c r="A207" s="65"/>
    </row>
    <row r="208" ht="15.75" customHeight="1">
      <c r="A208" s="65"/>
    </row>
    <row r="209" ht="15.75" customHeight="1">
      <c r="A209" s="65"/>
    </row>
    <row r="210" ht="15.75" customHeight="1">
      <c r="A210" s="65"/>
    </row>
    <row r="211" ht="15.75" customHeight="1">
      <c r="A211" s="65"/>
    </row>
    <row r="212" ht="15.75" customHeight="1">
      <c r="A212" s="65"/>
    </row>
    <row r="213" ht="15.75" customHeight="1">
      <c r="A213" s="65"/>
    </row>
    <row r="214" ht="15.75" customHeight="1">
      <c r="A214" s="65"/>
    </row>
    <row r="215" ht="15.75" customHeight="1">
      <c r="A215" s="65"/>
    </row>
    <row r="216" ht="15.75" customHeight="1">
      <c r="A216" s="65"/>
    </row>
    <row r="217" ht="15.75" customHeight="1">
      <c r="A217" s="65"/>
    </row>
    <row r="218" ht="15.75" customHeight="1">
      <c r="A218" s="65"/>
    </row>
    <row r="219" ht="15.75" customHeight="1">
      <c r="A219" s="65"/>
    </row>
    <row r="220" ht="15.75" customHeight="1">
      <c r="A220" s="65"/>
    </row>
    <row r="221" ht="15.75" customHeight="1">
      <c r="A221" s="65"/>
    </row>
    <row r="222" ht="15.75" customHeight="1">
      <c r="A222" s="65"/>
    </row>
    <row r="223" ht="15.75" customHeight="1">
      <c r="A223" s="65"/>
    </row>
    <row r="224" ht="15.75" customHeight="1">
      <c r="A224" s="65"/>
    </row>
    <row r="225" ht="15.75" customHeight="1">
      <c r="A225" s="65"/>
    </row>
    <row r="226" ht="15.75" customHeight="1">
      <c r="A226" s="65"/>
    </row>
    <row r="227" ht="15.75" customHeight="1">
      <c r="A227" s="65"/>
    </row>
    <row r="228" ht="15.75" customHeight="1">
      <c r="A228" s="65"/>
    </row>
    <row r="229" ht="15.75" customHeight="1">
      <c r="A229" s="65"/>
    </row>
    <row r="230" ht="15.75" customHeight="1">
      <c r="A230" s="65"/>
    </row>
    <row r="231" ht="15.75" customHeight="1">
      <c r="A231" s="65"/>
    </row>
    <row r="232" ht="15.75" customHeight="1">
      <c r="A232" s="65"/>
    </row>
    <row r="233" ht="15.75" customHeight="1">
      <c r="A233" s="65"/>
    </row>
    <row r="234" ht="15.75" customHeight="1">
      <c r="A234" s="65"/>
    </row>
    <row r="235" ht="15.75" customHeight="1">
      <c r="A235" s="65"/>
    </row>
    <row r="236" ht="15.75" customHeight="1">
      <c r="A236" s="65"/>
    </row>
    <row r="237" ht="15.75" customHeight="1">
      <c r="A237" s="65"/>
    </row>
    <row r="238" ht="15.75" customHeight="1">
      <c r="A238" s="65"/>
    </row>
    <row r="239" ht="15.75" customHeight="1">
      <c r="A239" s="65"/>
    </row>
    <row r="240" ht="15.75" customHeight="1">
      <c r="A240" s="65"/>
    </row>
    <row r="241" ht="15.75" customHeight="1">
      <c r="A241" s="65"/>
    </row>
    <row r="242" ht="15.75" customHeight="1">
      <c r="A242" s="65"/>
    </row>
    <row r="243" ht="15.75" customHeight="1">
      <c r="A243" s="65"/>
    </row>
    <row r="244" ht="15.75" customHeight="1">
      <c r="A244" s="65"/>
    </row>
    <row r="245" ht="15.75" customHeight="1">
      <c r="A245" s="65"/>
    </row>
    <row r="246" ht="15.75" customHeight="1">
      <c r="A246" s="65"/>
    </row>
    <row r="247" ht="15.75" customHeight="1">
      <c r="A247" s="65"/>
    </row>
    <row r="248" ht="15.75" customHeight="1">
      <c r="A248" s="65"/>
    </row>
    <row r="249" ht="15.75" customHeight="1">
      <c r="A249" s="65"/>
    </row>
    <row r="250" ht="15.75" customHeight="1">
      <c r="A250" s="65"/>
    </row>
    <row r="251" ht="15.75" customHeight="1">
      <c r="A251" s="65"/>
    </row>
    <row r="252" ht="15.75" customHeight="1">
      <c r="A252" s="65"/>
    </row>
    <row r="253" ht="15.75" customHeight="1">
      <c r="A253" s="65"/>
    </row>
    <row r="254" ht="15.75" customHeight="1">
      <c r="A254" s="65"/>
    </row>
    <row r="255" ht="15.75" customHeight="1">
      <c r="A255" s="65"/>
    </row>
    <row r="256" ht="15.75" customHeight="1">
      <c r="A256" s="65"/>
    </row>
    <row r="257" ht="15.75" customHeight="1">
      <c r="A257" s="65"/>
    </row>
    <row r="258" ht="15.75" customHeight="1">
      <c r="A258" s="65"/>
    </row>
    <row r="259" ht="15.75" customHeight="1">
      <c r="A259" s="65"/>
    </row>
    <row r="260" ht="15.75" customHeight="1">
      <c r="A260" s="65"/>
    </row>
    <row r="261" ht="15.75" customHeight="1">
      <c r="A261" s="65"/>
    </row>
    <row r="262" ht="15.75" customHeight="1">
      <c r="A262" s="65"/>
    </row>
    <row r="263" ht="15.75" customHeight="1">
      <c r="A263" s="65"/>
    </row>
    <row r="264" ht="15.75" customHeight="1">
      <c r="A264" s="65"/>
    </row>
    <row r="265" ht="15.75" customHeight="1">
      <c r="A265" s="65"/>
    </row>
    <row r="266" ht="15.75" customHeight="1">
      <c r="A266" s="65"/>
    </row>
    <row r="267" ht="15.75" customHeight="1">
      <c r="A267" s="65"/>
    </row>
    <row r="268" ht="15.75" customHeight="1">
      <c r="A268" s="65"/>
    </row>
    <row r="269" ht="15.75" customHeight="1">
      <c r="A269" s="65"/>
    </row>
    <row r="270" ht="15.75" customHeight="1">
      <c r="A270" s="65"/>
    </row>
    <row r="271" ht="15.75" customHeight="1">
      <c r="A271" s="65"/>
    </row>
    <row r="272" ht="15.75" customHeight="1">
      <c r="A272" s="65"/>
    </row>
    <row r="273" ht="15.75" customHeight="1">
      <c r="A273" s="65"/>
    </row>
    <row r="274" ht="15.75" customHeight="1">
      <c r="A274" s="65"/>
    </row>
    <row r="275" ht="15.75" customHeight="1">
      <c r="A275" s="65"/>
    </row>
    <row r="276" ht="15.75" customHeight="1">
      <c r="A276" s="65"/>
    </row>
    <row r="277" ht="15.75" customHeight="1">
      <c r="A277" s="65"/>
    </row>
    <row r="278" ht="15.75" customHeight="1">
      <c r="A278" s="65"/>
    </row>
    <row r="279" ht="15.75" customHeight="1">
      <c r="A279" s="65"/>
    </row>
    <row r="280" ht="15.75" customHeight="1">
      <c r="A280" s="65"/>
    </row>
    <row r="281" ht="15.75" customHeight="1">
      <c r="A281" s="65"/>
    </row>
    <row r="282" ht="15.75" customHeight="1">
      <c r="A282" s="65"/>
    </row>
    <row r="283" ht="15.75" customHeight="1">
      <c r="A283" s="65"/>
    </row>
    <row r="284" ht="15.75" customHeight="1">
      <c r="A284" s="65"/>
    </row>
    <row r="285" ht="15.75" customHeight="1">
      <c r="A285" s="65"/>
    </row>
    <row r="286" ht="15.75" customHeight="1">
      <c r="A286" s="65"/>
    </row>
    <row r="287" ht="15.75" customHeight="1">
      <c r="A287" s="65"/>
    </row>
    <row r="288" ht="15.75" customHeight="1">
      <c r="A288" s="65"/>
    </row>
    <row r="289" ht="15.75" customHeight="1">
      <c r="A289" s="65"/>
    </row>
    <row r="290" ht="15.75" customHeight="1">
      <c r="A290" s="65"/>
    </row>
    <row r="291" ht="15.75" customHeight="1">
      <c r="A291" s="65"/>
    </row>
    <row r="292" ht="15.75" customHeight="1">
      <c r="A292" s="65"/>
    </row>
    <row r="293" ht="15.75" customHeight="1">
      <c r="A293" s="65"/>
    </row>
    <row r="294" ht="15.75" customHeight="1">
      <c r="A294" s="65"/>
    </row>
    <row r="295" ht="15.75" customHeight="1">
      <c r="A295" s="65"/>
    </row>
    <row r="296" ht="15.75" customHeight="1">
      <c r="A296" s="65"/>
    </row>
    <row r="297" ht="15.75" customHeight="1">
      <c r="A297" s="65"/>
    </row>
    <row r="298" ht="15.75" customHeight="1">
      <c r="A298" s="65"/>
    </row>
    <row r="299" ht="15.75" customHeight="1">
      <c r="A299" s="65"/>
    </row>
    <row r="300" ht="15.75" customHeight="1">
      <c r="A300" s="65"/>
    </row>
    <row r="301" ht="15.75" customHeight="1">
      <c r="A301" s="65"/>
    </row>
    <row r="302" ht="15.75" customHeight="1">
      <c r="A302" s="65"/>
    </row>
    <row r="303" ht="15.75" customHeight="1">
      <c r="A303" s="65"/>
    </row>
    <row r="304" ht="15.75" customHeight="1">
      <c r="A304" s="65"/>
    </row>
    <row r="305" ht="15.75" customHeight="1">
      <c r="A305" s="65"/>
    </row>
    <row r="306" ht="15.75" customHeight="1">
      <c r="A306" s="65"/>
    </row>
    <row r="307" ht="15.75" customHeight="1">
      <c r="A307" s="65"/>
    </row>
    <row r="308" ht="15.75" customHeight="1">
      <c r="A308" s="65"/>
    </row>
    <row r="309" ht="15.75" customHeight="1">
      <c r="A309" s="65"/>
    </row>
    <row r="310" ht="15.75" customHeight="1">
      <c r="A310" s="65"/>
    </row>
    <row r="311" ht="15.75" customHeight="1">
      <c r="A311" s="65"/>
    </row>
    <row r="312" ht="15.75" customHeight="1">
      <c r="A312" s="65"/>
    </row>
    <row r="313" ht="15.75" customHeight="1">
      <c r="A313" s="65"/>
    </row>
    <row r="314" ht="15.75" customHeight="1">
      <c r="A314" s="65"/>
    </row>
    <row r="315" ht="15.75" customHeight="1">
      <c r="A315" s="65"/>
    </row>
    <row r="316" ht="15.75" customHeight="1">
      <c r="A316" s="65"/>
    </row>
    <row r="317" ht="15.75" customHeight="1">
      <c r="A317" s="65"/>
    </row>
    <row r="318" ht="15.75" customHeight="1">
      <c r="A318" s="65"/>
    </row>
    <row r="319" ht="15.75" customHeight="1">
      <c r="A319" s="65"/>
    </row>
    <row r="320" ht="15.75" customHeight="1">
      <c r="A320" s="65"/>
    </row>
    <row r="321" ht="15.75" customHeight="1">
      <c r="A321" s="65"/>
    </row>
    <row r="322" ht="15.75" customHeight="1">
      <c r="A322" s="65"/>
    </row>
    <row r="323" ht="15.75" customHeight="1">
      <c r="A323" s="65"/>
    </row>
    <row r="324" ht="15.75" customHeight="1">
      <c r="A324" s="65"/>
    </row>
    <row r="325" ht="15.75" customHeight="1">
      <c r="A325" s="65"/>
    </row>
    <row r="326" ht="15.75" customHeight="1">
      <c r="A326" s="65"/>
    </row>
    <row r="327" ht="15.75" customHeight="1">
      <c r="A327" s="65"/>
    </row>
    <row r="328" ht="15.75" customHeight="1">
      <c r="A328" s="65"/>
    </row>
    <row r="329" ht="15.75" customHeight="1">
      <c r="A329" s="65"/>
    </row>
    <row r="330" ht="15.75" customHeight="1">
      <c r="A330" s="65"/>
    </row>
    <row r="331" ht="15.75" customHeight="1">
      <c r="A331" s="65"/>
    </row>
    <row r="332" ht="15.75" customHeight="1">
      <c r="A332" s="65"/>
    </row>
    <row r="333" ht="15.75" customHeight="1">
      <c r="A333" s="65"/>
    </row>
    <row r="334" ht="15.75" customHeight="1">
      <c r="A334" s="65"/>
    </row>
    <row r="335" ht="15.75" customHeight="1">
      <c r="A335" s="65"/>
    </row>
    <row r="336" ht="15.75" customHeight="1">
      <c r="A336" s="65"/>
    </row>
    <row r="337" ht="15.75" customHeight="1">
      <c r="A337" s="65"/>
    </row>
    <row r="338" ht="15.75" customHeight="1">
      <c r="A338" s="65"/>
    </row>
    <row r="339" ht="15.75" customHeight="1">
      <c r="A339" s="65"/>
    </row>
    <row r="340" ht="15.75" customHeight="1">
      <c r="A340" s="65"/>
    </row>
    <row r="341" ht="15.75" customHeight="1">
      <c r="A341" s="65"/>
    </row>
    <row r="342" ht="15.75" customHeight="1">
      <c r="A342" s="65"/>
    </row>
    <row r="343" ht="15.75" customHeight="1">
      <c r="A343" s="65"/>
    </row>
    <row r="344" ht="15.75" customHeight="1">
      <c r="A344" s="65"/>
    </row>
    <row r="345" ht="15.75" customHeight="1">
      <c r="A345" s="65"/>
    </row>
    <row r="346" ht="15.75" customHeight="1">
      <c r="A346" s="65"/>
    </row>
    <row r="347" ht="15.75" customHeight="1">
      <c r="A347" s="65"/>
    </row>
    <row r="348" ht="15.75" customHeight="1">
      <c r="A348" s="65"/>
    </row>
    <row r="349" ht="15.75" customHeight="1">
      <c r="A349" s="65"/>
    </row>
    <row r="350" ht="15.75" customHeight="1">
      <c r="A350" s="65"/>
    </row>
    <row r="351" ht="15.75" customHeight="1">
      <c r="A351" s="65"/>
    </row>
    <row r="352" ht="15.75" customHeight="1">
      <c r="A352" s="65"/>
    </row>
    <row r="353" ht="15.75" customHeight="1">
      <c r="A353" s="65"/>
    </row>
    <row r="354" ht="15.75" customHeight="1">
      <c r="A354" s="65"/>
    </row>
    <row r="355" ht="15.75" customHeight="1">
      <c r="A355" s="65"/>
    </row>
    <row r="356" ht="15.75" customHeight="1">
      <c r="A356" s="65"/>
    </row>
    <row r="357" ht="15.75" customHeight="1">
      <c r="A357" s="65"/>
    </row>
    <row r="358" ht="15.75" customHeight="1">
      <c r="A358" s="65"/>
    </row>
    <row r="359" ht="15.75" customHeight="1">
      <c r="A359" s="65"/>
    </row>
    <row r="360" ht="15.75" customHeight="1">
      <c r="A360" s="65"/>
    </row>
    <row r="361" ht="15.75" customHeight="1">
      <c r="A361" s="65"/>
    </row>
    <row r="362" ht="15.75" customHeight="1">
      <c r="A362" s="65"/>
    </row>
    <row r="363" ht="15.75" customHeight="1">
      <c r="A363" s="65"/>
    </row>
    <row r="364" ht="15.75" customHeight="1">
      <c r="A364" s="65"/>
    </row>
    <row r="365" ht="15.75" customHeight="1">
      <c r="A365" s="65"/>
    </row>
    <row r="366" ht="15.75" customHeight="1">
      <c r="A366" s="65"/>
    </row>
    <row r="367" ht="15.75" customHeight="1">
      <c r="A367" s="65"/>
    </row>
    <row r="368" ht="15.75" customHeight="1">
      <c r="A368" s="65"/>
    </row>
    <row r="369" ht="15.75" customHeight="1">
      <c r="A369" s="65"/>
    </row>
    <row r="370" ht="15.75" customHeight="1">
      <c r="A370" s="65"/>
    </row>
    <row r="371" ht="15.75" customHeight="1">
      <c r="A371" s="65"/>
    </row>
    <row r="372" ht="15.75" customHeight="1">
      <c r="A372" s="65"/>
    </row>
    <row r="373" ht="15.75" customHeight="1">
      <c r="A373" s="65"/>
    </row>
    <row r="374" ht="15.75" customHeight="1">
      <c r="A374" s="65"/>
    </row>
    <row r="375" ht="15.75" customHeight="1">
      <c r="A375" s="65"/>
    </row>
    <row r="376" ht="15.75" customHeight="1">
      <c r="A376" s="65"/>
    </row>
    <row r="377" ht="15.75" customHeight="1">
      <c r="A377" s="65"/>
    </row>
    <row r="378" ht="15.75" customHeight="1">
      <c r="A378" s="65"/>
    </row>
    <row r="379" ht="15.75" customHeight="1">
      <c r="A379" s="65"/>
    </row>
    <row r="380" ht="15.75" customHeight="1">
      <c r="A380" s="65"/>
    </row>
    <row r="381" ht="15.75" customHeight="1">
      <c r="A381" s="65"/>
    </row>
    <row r="382" ht="15.75" customHeight="1">
      <c r="A382" s="65"/>
    </row>
    <row r="383" ht="15.75" customHeight="1">
      <c r="A383" s="65"/>
    </row>
    <row r="384" ht="15.75" customHeight="1">
      <c r="A384" s="65"/>
    </row>
    <row r="385" ht="15.75" customHeight="1">
      <c r="A385" s="65"/>
    </row>
    <row r="386" ht="15.75" customHeight="1">
      <c r="A386" s="65"/>
    </row>
    <row r="387" ht="15.75" customHeight="1">
      <c r="A387" s="65"/>
    </row>
    <row r="388" ht="15.75" customHeight="1">
      <c r="A388" s="65"/>
    </row>
    <row r="389" ht="15.75" customHeight="1">
      <c r="A389" s="65"/>
    </row>
    <row r="390" ht="15.75" customHeight="1">
      <c r="A390" s="65"/>
    </row>
    <row r="391" ht="15.75" customHeight="1">
      <c r="A391" s="65"/>
    </row>
    <row r="392" ht="15.75" customHeight="1">
      <c r="A392" s="65"/>
    </row>
    <row r="393" ht="15.75" customHeight="1">
      <c r="A393" s="65"/>
    </row>
    <row r="394" ht="15.75" customHeight="1">
      <c r="A394" s="65"/>
    </row>
    <row r="395" ht="15.75" customHeight="1">
      <c r="A395" s="65"/>
    </row>
    <row r="396" ht="15.75" customHeight="1">
      <c r="A396" s="65"/>
    </row>
    <row r="397" ht="15.75" customHeight="1">
      <c r="A397" s="65"/>
    </row>
    <row r="398" ht="15.75" customHeight="1">
      <c r="A398" s="65"/>
    </row>
    <row r="399" ht="15.75" customHeight="1">
      <c r="A399" s="65"/>
    </row>
    <row r="400" ht="15.75" customHeight="1">
      <c r="A400" s="65"/>
    </row>
    <row r="401" ht="15.75" customHeight="1">
      <c r="A401" s="65"/>
    </row>
    <row r="402" ht="15.75" customHeight="1">
      <c r="A402" s="65"/>
    </row>
    <row r="403" ht="15.75" customHeight="1">
      <c r="A403" s="65"/>
    </row>
    <row r="404" ht="15.75" customHeight="1">
      <c r="A404" s="65"/>
    </row>
    <row r="405" ht="15.75" customHeight="1">
      <c r="A405" s="65"/>
    </row>
    <row r="406" ht="15.75" customHeight="1">
      <c r="A406" s="65"/>
    </row>
    <row r="407" ht="15.75" customHeight="1">
      <c r="A407" s="65"/>
    </row>
    <row r="408" ht="15.75" customHeight="1">
      <c r="A408" s="65"/>
    </row>
    <row r="409" ht="15.75" customHeight="1">
      <c r="A409" s="65"/>
    </row>
    <row r="410" ht="15.75" customHeight="1">
      <c r="A410" s="65"/>
    </row>
    <row r="411" ht="15.75" customHeight="1">
      <c r="A411" s="65"/>
    </row>
    <row r="412" ht="15.75" customHeight="1">
      <c r="A412" s="65"/>
    </row>
    <row r="413" ht="15.75" customHeight="1">
      <c r="A413" s="65"/>
    </row>
    <row r="414" ht="15.75" customHeight="1">
      <c r="A414" s="65"/>
    </row>
    <row r="415" ht="15.75" customHeight="1">
      <c r="A415" s="65"/>
    </row>
    <row r="416" ht="15.75" customHeight="1">
      <c r="A416" s="65"/>
    </row>
    <row r="417" ht="15.75" customHeight="1">
      <c r="A417" s="65"/>
    </row>
    <row r="418" ht="15.75" customHeight="1">
      <c r="A418" s="65"/>
    </row>
    <row r="419" ht="15.75" customHeight="1">
      <c r="A419" s="65"/>
    </row>
    <row r="420" ht="15.75" customHeight="1">
      <c r="A420" s="65"/>
    </row>
    <row r="421" ht="15.75" customHeight="1">
      <c r="A421" s="65"/>
    </row>
    <row r="422" ht="15.75" customHeight="1">
      <c r="A422" s="65"/>
    </row>
    <row r="423" ht="15.75" customHeight="1">
      <c r="A423" s="65"/>
    </row>
    <row r="424" ht="15.75" customHeight="1">
      <c r="A424" s="65"/>
    </row>
    <row r="425" ht="15.75" customHeight="1">
      <c r="A425" s="65"/>
    </row>
    <row r="426" ht="15.75" customHeight="1">
      <c r="A426" s="65"/>
    </row>
    <row r="427" ht="15.75" customHeight="1">
      <c r="A427" s="65"/>
    </row>
    <row r="428" ht="15.75" customHeight="1">
      <c r="A428" s="65"/>
    </row>
    <row r="429" ht="15.75" customHeight="1">
      <c r="A429" s="65"/>
    </row>
    <row r="430" ht="15.75" customHeight="1">
      <c r="A430" s="65"/>
    </row>
    <row r="431" ht="15.75" customHeight="1">
      <c r="A431" s="65"/>
    </row>
    <row r="432" ht="15.75" customHeight="1">
      <c r="A432" s="65"/>
    </row>
    <row r="433" ht="15.75" customHeight="1">
      <c r="A433" s="65"/>
    </row>
    <row r="434" ht="15.75" customHeight="1">
      <c r="A434" s="65"/>
    </row>
    <row r="435" ht="15.75" customHeight="1">
      <c r="A435" s="65"/>
    </row>
    <row r="436" ht="15.75" customHeight="1">
      <c r="A436" s="65"/>
    </row>
    <row r="437" ht="15.75" customHeight="1">
      <c r="A437" s="65"/>
    </row>
    <row r="438" ht="15.75" customHeight="1">
      <c r="A438" s="65"/>
    </row>
    <row r="439" ht="15.75" customHeight="1">
      <c r="A439" s="65"/>
    </row>
    <row r="440" ht="15.75" customHeight="1">
      <c r="A440" s="65"/>
    </row>
    <row r="441" ht="15.75" customHeight="1">
      <c r="A441" s="65"/>
    </row>
    <row r="442" ht="15.75" customHeight="1">
      <c r="A442" s="65"/>
    </row>
    <row r="443" ht="15.75" customHeight="1">
      <c r="A443" s="65"/>
    </row>
    <row r="444" ht="15.75" customHeight="1">
      <c r="A444" s="65"/>
    </row>
    <row r="445" ht="15.75" customHeight="1">
      <c r="A445" s="65"/>
    </row>
    <row r="446" ht="15.75" customHeight="1">
      <c r="A446" s="65"/>
    </row>
    <row r="447" ht="15.75" customHeight="1">
      <c r="A447" s="65"/>
    </row>
    <row r="448" ht="15.75" customHeight="1">
      <c r="A448" s="65"/>
    </row>
    <row r="449" ht="15.75" customHeight="1">
      <c r="A449" s="65"/>
    </row>
    <row r="450" ht="15.75" customHeight="1">
      <c r="A450" s="65"/>
    </row>
    <row r="451" ht="15.75" customHeight="1">
      <c r="A451" s="65"/>
    </row>
    <row r="452" ht="15.75" customHeight="1">
      <c r="A452" s="65"/>
    </row>
    <row r="453" ht="15.75" customHeight="1">
      <c r="A453" s="65"/>
    </row>
    <row r="454" ht="15.75" customHeight="1">
      <c r="A454" s="65"/>
    </row>
    <row r="455" ht="15.75" customHeight="1">
      <c r="A455" s="65"/>
    </row>
    <row r="456" ht="15.75" customHeight="1">
      <c r="A456" s="65"/>
    </row>
    <row r="457" ht="15.75" customHeight="1">
      <c r="A457" s="65"/>
    </row>
    <row r="458" ht="15.75" customHeight="1">
      <c r="A458" s="65"/>
    </row>
    <row r="459" ht="15.75" customHeight="1">
      <c r="A459" s="65"/>
    </row>
    <row r="460" ht="15.75" customHeight="1">
      <c r="A460" s="65"/>
    </row>
    <row r="461" ht="15.75" customHeight="1">
      <c r="A461" s="65"/>
    </row>
    <row r="462" ht="15.75" customHeight="1">
      <c r="A462" s="65"/>
    </row>
    <row r="463" ht="15.75" customHeight="1">
      <c r="A463" s="65"/>
    </row>
    <row r="464" ht="15.75" customHeight="1">
      <c r="A464" s="65"/>
    </row>
    <row r="465" ht="15.75" customHeight="1">
      <c r="A465" s="65"/>
    </row>
    <row r="466" ht="15.75" customHeight="1">
      <c r="A466" s="65"/>
    </row>
    <row r="467" ht="15.75" customHeight="1">
      <c r="A467" s="65"/>
    </row>
    <row r="468" ht="15.75" customHeight="1">
      <c r="A468" s="65"/>
    </row>
    <row r="469" ht="15.75" customHeight="1">
      <c r="A469" s="65"/>
    </row>
    <row r="470" ht="15.75" customHeight="1">
      <c r="A470" s="65"/>
    </row>
    <row r="471" ht="15.75" customHeight="1">
      <c r="A471" s="65"/>
    </row>
    <row r="472" ht="15.75" customHeight="1">
      <c r="A472" s="65"/>
    </row>
    <row r="473" ht="15.75" customHeight="1">
      <c r="A473" s="65"/>
    </row>
    <row r="474" ht="15.75" customHeight="1">
      <c r="A474" s="65"/>
    </row>
    <row r="475" ht="15.75" customHeight="1">
      <c r="A475" s="65"/>
    </row>
    <row r="476" ht="15.75" customHeight="1">
      <c r="A476" s="65"/>
    </row>
    <row r="477" ht="15.75" customHeight="1">
      <c r="A477" s="65"/>
    </row>
    <row r="478" ht="15.75" customHeight="1">
      <c r="A478" s="65"/>
    </row>
    <row r="479" ht="15.75" customHeight="1">
      <c r="A479" s="65"/>
    </row>
    <row r="480" ht="15.75" customHeight="1">
      <c r="A480" s="65"/>
    </row>
    <row r="481" ht="15.75" customHeight="1">
      <c r="A481" s="65"/>
    </row>
    <row r="482" ht="15.75" customHeight="1">
      <c r="A482" s="65"/>
    </row>
    <row r="483" ht="15.75" customHeight="1">
      <c r="A483" s="65"/>
    </row>
    <row r="484" ht="15.75" customHeight="1">
      <c r="A484" s="65"/>
    </row>
    <row r="485" ht="15.75" customHeight="1">
      <c r="A485" s="65"/>
    </row>
    <row r="486" ht="15.75" customHeight="1">
      <c r="A486" s="65"/>
    </row>
    <row r="487" ht="15.75" customHeight="1">
      <c r="A487" s="65"/>
    </row>
    <row r="488" ht="15.75" customHeight="1">
      <c r="A488" s="65"/>
    </row>
    <row r="489" ht="15.75" customHeight="1">
      <c r="A489" s="65"/>
    </row>
    <row r="490" ht="15.75" customHeight="1">
      <c r="A490" s="65"/>
    </row>
    <row r="491" ht="15.75" customHeight="1">
      <c r="A491" s="65"/>
    </row>
    <row r="492" ht="15.75" customHeight="1">
      <c r="A492" s="65"/>
    </row>
    <row r="493" ht="15.75" customHeight="1">
      <c r="A493" s="65"/>
    </row>
    <row r="494" ht="15.75" customHeight="1">
      <c r="A494" s="65"/>
    </row>
    <row r="495" ht="15.75" customHeight="1">
      <c r="A495" s="65"/>
    </row>
    <row r="496" ht="15.75" customHeight="1">
      <c r="A496" s="65"/>
    </row>
    <row r="497" ht="15.75" customHeight="1">
      <c r="A497" s="65"/>
    </row>
    <row r="498" ht="15.75" customHeight="1">
      <c r="A498" s="65"/>
    </row>
    <row r="499" ht="15.75" customHeight="1">
      <c r="A499" s="65"/>
    </row>
    <row r="500" ht="15.75" customHeight="1">
      <c r="A500" s="65"/>
    </row>
    <row r="501" ht="15.75" customHeight="1">
      <c r="A501" s="65"/>
    </row>
    <row r="502" ht="15.75" customHeight="1">
      <c r="A502" s="65"/>
    </row>
    <row r="503" ht="15.75" customHeight="1">
      <c r="A503" s="65"/>
    </row>
    <row r="504" ht="15.75" customHeight="1">
      <c r="A504" s="65"/>
    </row>
    <row r="505" ht="15.75" customHeight="1">
      <c r="A505" s="65"/>
    </row>
    <row r="506" ht="15.75" customHeight="1">
      <c r="A506" s="65"/>
    </row>
    <row r="507" ht="15.75" customHeight="1">
      <c r="A507" s="65"/>
    </row>
    <row r="508" ht="15.75" customHeight="1">
      <c r="A508" s="65"/>
    </row>
    <row r="509" ht="15.75" customHeight="1">
      <c r="A509" s="65"/>
    </row>
    <row r="510" ht="15.75" customHeight="1">
      <c r="A510" s="65"/>
    </row>
    <row r="511" ht="15.75" customHeight="1">
      <c r="A511" s="65"/>
    </row>
    <row r="512" ht="15.75" customHeight="1">
      <c r="A512" s="65"/>
    </row>
    <row r="513" ht="15.75" customHeight="1">
      <c r="A513" s="65"/>
    </row>
    <row r="514" ht="15.75" customHeight="1">
      <c r="A514" s="65"/>
    </row>
    <row r="515" ht="15.75" customHeight="1">
      <c r="A515" s="65"/>
    </row>
    <row r="516" ht="15.75" customHeight="1">
      <c r="A516" s="65"/>
    </row>
    <row r="517" ht="15.75" customHeight="1">
      <c r="A517" s="65"/>
    </row>
    <row r="518" ht="15.75" customHeight="1">
      <c r="A518" s="65"/>
    </row>
    <row r="519" ht="15.75" customHeight="1">
      <c r="A519" s="65"/>
    </row>
    <row r="520" ht="15.75" customHeight="1">
      <c r="A520" s="65"/>
    </row>
    <row r="521" ht="15.75" customHeight="1">
      <c r="A521" s="65"/>
    </row>
    <row r="522" ht="15.75" customHeight="1">
      <c r="A522" s="65"/>
    </row>
    <row r="523" ht="15.75" customHeight="1">
      <c r="A523" s="65"/>
    </row>
    <row r="524" ht="15.75" customHeight="1">
      <c r="A524" s="65"/>
    </row>
    <row r="525" ht="15.75" customHeight="1">
      <c r="A525" s="65"/>
    </row>
    <row r="526" ht="15.75" customHeight="1">
      <c r="A526" s="65"/>
    </row>
    <row r="527" ht="15.75" customHeight="1">
      <c r="A527" s="65"/>
    </row>
    <row r="528" ht="15.75" customHeight="1">
      <c r="A528" s="65"/>
    </row>
    <row r="529" ht="15.75" customHeight="1">
      <c r="A529" s="65"/>
    </row>
    <row r="530" ht="15.75" customHeight="1">
      <c r="A530" s="65"/>
    </row>
    <row r="531" ht="15.75" customHeight="1">
      <c r="A531" s="65"/>
    </row>
    <row r="532" ht="15.75" customHeight="1">
      <c r="A532" s="65"/>
    </row>
    <row r="533" ht="15.75" customHeight="1">
      <c r="A533" s="65"/>
    </row>
    <row r="534" ht="15.75" customHeight="1">
      <c r="A534" s="65"/>
    </row>
    <row r="535" ht="15.75" customHeight="1">
      <c r="A535" s="65"/>
    </row>
    <row r="536" ht="15.75" customHeight="1">
      <c r="A536" s="65"/>
    </row>
    <row r="537" ht="15.75" customHeight="1">
      <c r="A537" s="65"/>
    </row>
    <row r="538" ht="15.75" customHeight="1">
      <c r="A538" s="65"/>
    </row>
    <row r="539" ht="15.75" customHeight="1">
      <c r="A539" s="65"/>
    </row>
    <row r="540" ht="15.75" customHeight="1">
      <c r="A540" s="65"/>
    </row>
    <row r="541" ht="15.75" customHeight="1">
      <c r="A541" s="65"/>
    </row>
    <row r="542" ht="15.75" customHeight="1">
      <c r="A542" s="65"/>
    </row>
    <row r="543" ht="15.75" customHeight="1">
      <c r="A543" s="65"/>
    </row>
    <row r="544" ht="15.75" customHeight="1">
      <c r="A544" s="65"/>
    </row>
    <row r="545" ht="15.75" customHeight="1">
      <c r="A545" s="65"/>
    </row>
    <row r="546" ht="15.75" customHeight="1">
      <c r="A546" s="65"/>
    </row>
    <row r="547" ht="15.75" customHeight="1">
      <c r="A547" s="65"/>
    </row>
    <row r="548" ht="15.75" customHeight="1">
      <c r="A548" s="65"/>
    </row>
    <row r="549" ht="15.75" customHeight="1">
      <c r="A549" s="65"/>
    </row>
    <row r="550" ht="15.75" customHeight="1">
      <c r="A550" s="65"/>
    </row>
    <row r="551" ht="15.75" customHeight="1">
      <c r="A551" s="65"/>
    </row>
    <row r="552" ht="15.75" customHeight="1">
      <c r="A552" s="65"/>
    </row>
    <row r="553" ht="15.75" customHeight="1">
      <c r="A553" s="65"/>
    </row>
    <row r="554" ht="15.75" customHeight="1">
      <c r="A554" s="65"/>
    </row>
    <row r="555" ht="15.75" customHeight="1">
      <c r="A555" s="65"/>
    </row>
    <row r="556" ht="15.75" customHeight="1">
      <c r="A556" s="65"/>
    </row>
    <row r="557" ht="15.75" customHeight="1">
      <c r="A557" s="65"/>
    </row>
    <row r="558" ht="15.75" customHeight="1">
      <c r="A558" s="65"/>
    </row>
    <row r="559" ht="15.75" customHeight="1">
      <c r="A559" s="65"/>
    </row>
    <row r="560" ht="15.75" customHeight="1">
      <c r="A560" s="65"/>
    </row>
    <row r="561" ht="15.75" customHeight="1">
      <c r="A561" s="65"/>
    </row>
    <row r="562" ht="15.75" customHeight="1">
      <c r="A562" s="65"/>
    </row>
    <row r="563" ht="15.75" customHeight="1">
      <c r="A563" s="65"/>
    </row>
    <row r="564" ht="15.75" customHeight="1">
      <c r="A564" s="65"/>
    </row>
    <row r="565" ht="15.75" customHeight="1">
      <c r="A565" s="65"/>
    </row>
    <row r="566" ht="15.75" customHeight="1">
      <c r="A566" s="65"/>
    </row>
    <row r="567" ht="15.75" customHeight="1">
      <c r="A567" s="65"/>
    </row>
    <row r="568" ht="15.75" customHeight="1">
      <c r="A568" s="65"/>
    </row>
    <row r="569" ht="15.75" customHeight="1">
      <c r="A569" s="65"/>
    </row>
    <row r="570" ht="15.75" customHeight="1">
      <c r="A570" s="65"/>
    </row>
    <row r="571" ht="15.75" customHeight="1">
      <c r="A571" s="65"/>
    </row>
    <row r="572" ht="15.75" customHeight="1">
      <c r="A572" s="65"/>
    </row>
    <row r="573" ht="15.75" customHeight="1">
      <c r="A573" s="65"/>
    </row>
    <row r="574" ht="15.75" customHeight="1">
      <c r="A574" s="65"/>
    </row>
    <row r="575" ht="15.75" customHeight="1">
      <c r="A575" s="65"/>
    </row>
    <row r="576" ht="15.75" customHeight="1">
      <c r="A576" s="65"/>
    </row>
    <row r="577" ht="15.75" customHeight="1">
      <c r="A577" s="65"/>
    </row>
    <row r="578" ht="15.75" customHeight="1">
      <c r="A578" s="65"/>
    </row>
    <row r="579" ht="15.75" customHeight="1">
      <c r="A579" s="65"/>
    </row>
    <row r="580" ht="15.75" customHeight="1">
      <c r="A580" s="65"/>
    </row>
    <row r="581" ht="15.75" customHeight="1">
      <c r="A581" s="65"/>
    </row>
    <row r="582" ht="15.75" customHeight="1">
      <c r="A582" s="65"/>
    </row>
    <row r="583" ht="15.75" customHeight="1">
      <c r="A583" s="65"/>
    </row>
    <row r="584" ht="15.75" customHeight="1">
      <c r="A584" s="65"/>
    </row>
    <row r="585" ht="15.75" customHeight="1">
      <c r="A585" s="65"/>
    </row>
    <row r="586" ht="15.75" customHeight="1">
      <c r="A586" s="65"/>
    </row>
    <row r="587" ht="15.75" customHeight="1">
      <c r="A587" s="65"/>
    </row>
    <row r="588" ht="15.75" customHeight="1">
      <c r="A588" s="65"/>
    </row>
    <row r="589" ht="15.75" customHeight="1">
      <c r="A589" s="65"/>
    </row>
    <row r="590" ht="15.75" customHeight="1">
      <c r="A590" s="65"/>
    </row>
    <row r="591" ht="15.75" customHeight="1">
      <c r="A591" s="65"/>
    </row>
    <row r="592" ht="15.75" customHeight="1">
      <c r="A592" s="65"/>
    </row>
    <row r="593" ht="15.75" customHeight="1">
      <c r="A593" s="65"/>
    </row>
    <row r="594" ht="15.75" customHeight="1">
      <c r="A594" s="65"/>
    </row>
    <row r="595" ht="15.75" customHeight="1">
      <c r="A595" s="65"/>
    </row>
    <row r="596" ht="15.75" customHeight="1">
      <c r="A596" s="65"/>
    </row>
    <row r="597" ht="15.75" customHeight="1">
      <c r="A597" s="65"/>
    </row>
    <row r="598" ht="15.75" customHeight="1">
      <c r="A598" s="65"/>
    </row>
    <row r="599" ht="15.75" customHeight="1">
      <c r="A599" s="65"/>
    </row>
    <row r="600" ht="15.75" customHeight="1">
      <c r="A600" s="65"/>
    </row>
    <row r="601" ht="15.75" customHeight="1">
      <c r="A601" s="65"/>
    </row>
    <row r="602" ht="15.75" customHeight="1">
      <c r="A602" s="65"/>
    </row>
    <row r="603" ht="15.75" customHeight="1">
      <c r="A603" s="65"/>
    </row>
    <row r="604" ht="15.75" customHeight="1">
      <c r="A604" s="65"/>
    </row>
    <row r="605" ht="15.75" customHeight="1">
      <c r="A605" s="65"/>
    </row>
    <row r="606" ht="15.75" customHeight="1">
      <c r="A606" s="65"/>
    </row>
    <row r="607" ht="15.75" customHeight="1">
      <c r="A607" s="65"/>
    </row>
    <row r="608" ht="15.75" customHeight="1">
      <c r="A608" s="65"/>
    </row>
    <row r="609" ht="15.75" customHeight="1">
      <c r="A609" s="65"/>
    </row>
    <row r="610" ht="15.75" customHeight="1">
      <c r="A610" s="65"/>
    </row>
    <row r="611" ht="15.75" customHeight="1">
      <c r="A611" s="65"/>
    </row>
    <row r="612" ht="15.75" customHeight="1">
      <c r="A612" s="65"/>
    </row>
    <row r="613" ht="15.75" customHeight="1">
      <c r="A613" s="65"/>
    </row>
    <row r="614" ht="15.75" customHeight="1">
      <c r="A614" s="65"/>
    </row>
    <row r="615" ht="15.75" customHeight="1">
      <c r="A615" s="65"/>
    </row>
    <row r="616" ht="15.75" customHeight="1">
      <c r="A616" s="65"/>
    </row>
    <row r="617" ht="15.75" customHeight="1">
      <c r="A617" s="65"/>
    </row>
    <row r="618" ht="15.75" customHeight="1">
      <c r="A618" s="65"/>
    </row>
    <row r="619" ht="15.75" customHeight="1">
      <c r="A619" s="65"/>
    </row>
    <row r="620" ht="15.75" customHeight="1">
      <c r="A620" s="65"/>
    </row>
    <row r="621" ht="15.75" customHeight="1">
      <c r="A621" s="65"/>
    </row>
    <row r="622" ht="15.75" customHeight="1">
      <c r="A622" s="65"/>
    </row>
    <row r="623" ht="15.75" customHeight="1">
      <c r="A623" s="65"/>
    </row>
    <row r="624" ht="15.75" customHeight="1">
      <c r="A624" s="65"/>
    </row>
    <row r="625" ht="15.75" customHeight="1">
      <c r="A625" s="65"/>
    </row>
    <row r="626" ht="15.75" customHeight="1">
      <c r="A626" s="65"/>
    </row>
    <row r="627" ht="15.75" customHeight="1">
      <c r="A627" s="65"/>
    </row>
    <row r="628" ht="15.75" customHeight="1">
      <c r="A628" s="65"/>
    </row>
    <row r="629" ht="15.75" customHeight="1">
      <c r="A629" s="65"/>
    </row>
    <row r="630" ht="15.75" customHeight="1">
      <c r="A630" s="65"/>
    </row>
    <row r="631" ht="15.75" customHeight="1">
      <c r="A631" s="65"/>
    </row>
    <row r="632" ht="15.75" customHeight="1">
      <c r="A632" s="65"/>
    </row>
    <row r="633" ht="15.75" customHeight="1">
      <c r="A633" s="65"/>
    </row>
    <row r="634" ht="15.75" customHeight="1">
      <c r="A634" s="65"/>
    </row>
    <row r="635" ht="15.75" customHeight="1">
      <c r="A635" s="65"/>
    </row>
    <row r="636" ht="15.75" customHeight="1">
      <c r="A636" s="65"/>
    </row>
    <row r="637" ht="15.75" customHeight="1">
      <c r="A637" s="65"/>
    </row>
    <row r="638" ht="15.75" customHeight="1">
      <c r="A638" s="65"/>
    </row>
    <row r="639" ht="15.75" customHeight="1">
      <c r="A639" s="65"/>
    </row>
    <row r="640" ht="15.75" customHeight="1">
      <c r="A640" s="65"/>
    </row>
    <row r="641" ht="15.75" customHeight="1">
      <c r="A641" s="65"/>
    </row>
    <row r="642" ht="15.75" customHeight="1">
      <c r="A642" s="65"/>
    </row>
    <row r="643" ht="15.75" customHeight="1">
      <c r="A643" s="65"/>
    </row>
    <row r="644" ht="15.75" customHeight="1">
      <c r="A644" s="65"/>
    </row>
    <row r="645" ht="15.75" customHeight="1">
      <c r="A645" s="65"/>
    </row>
    <row r="646" ht="15.75" customHeight="1">
      <c r="A646" s="65"/>
    </row>
    <row r="647" ht="15.75" customHeight="1">
      <c r="A647" s="65"/>
    </row>
    <row r="648" ht="15.75" customHeight="1">
      <c r="A648" s="65"/>
    </row>
    <row r="649" ht="15.75" customHeight="1">
      <c r="A649" s="65"/>
    </row>
    <row r="650" ht="15.75" customHeight="1">
      <c r="A650" s="65"/>
    </row>
    <row r="651" ht="15.75" customHeight="1">
      <c r="A651" s="65"/>
    </row>
    <row r="652" ht="15.75" customHeight="1">
      <c r="A652" s="65"/>
    </row>
    <row r="653" ht="15.75" customHeight="1">
      <c r="A653" s="65"/>
    </row>
    <row r="654" ht="15.75" customHeight="1">
      <c r="A654" s="65"/>
    </row>
    <row r="655" ht="15.75" customHeight="1">
      <c r="A655" s="65"/>
    </row>
    <row r="656" ht="15.75" customHeight="1">
      <c r="A656" s="65"/>
    </row>
    <row r="657" ht="15.75" customHeight="1">
      <c r="A657" s="65"/>
    </row>
    <row r="658" ht="15.75" customHeight="1">
      <c r="A658" s="65"/>
    </row>
    <row r="659" ht="15.75" customHeight="1">
      <c r="A659" s="65"/>
    </row>
    <row r="660" ht="15.75" customHeight="1">
      <c r="A660" s="65"/>
    </row>
    <row r="661" ht="15.75" customHeight="1">
      <c r="A661" s="65"/>
    </row>
    <row r="662" ht="15.75" customHeight="1">
      <c r="A662" s="65"/>
    </row>
    <row r="663" ht="15.75" customHeight="1">
      <c r="A663" s="65"/>
    </row>
    <row r="664" ht="15.75" customHeight="1">
      <c r="A664" s="65"/>
    </row>
    <row r="665" ht="15.75" customHeight="1">
      <c r="A665" s="65"/>
    </row>
    <row r="666" ht="15.75" customHeight="1">
      <c r="A666" s="65"/>
    </row>
    <row r="667" ht="15.75" customHeight="1">
      <c r="A667" s="65"/>
    </row>
    <row r="668" ht="15.75" customHeight="1">
      <c r="A668" s="65"/>
    </row>
    <row r="669" ht="15.75" customHeight="1">
      <c r="A669" s="65"/>
    </row>
    <row r="670" ht="15.75" customHeight="1">
      <c r="A670" s="65"/>
    </row>
    <row r="671" ht="15.75" customHeight="1">
      <c r="A671" s="65"/>
    </row>
    <row r="672" ht="15.75" customHeight="1">
      <c r="A672" s="65"/>
    </row>
    <row r="673" ht="15.75" customHeight="1">
      <c r="A673" s="65"/>
    </row>
    <row r="674" ht="15.75" customHeight="1">
      <c r="A674" s="65"/>
    </row>
    <row r="675" ht="15.75" customHeight="1">
      <c r="A675" s="65"/>
    </row>
    <row r="676" ht="15.75" customHeight="1">
      <c r="A676" s="65"/>
    </row>
    <row r="677" ht="15.75" customHeight="1">
      <c r="A677" s="65"/>
    </row>
    <row r="678" ht="15.75" customHeight="1">
      <c r="A678" s="65"/>
    </row>
    <row r="679" ht="15.75" customHeight="1">
      <c r="A679" s="65"/>
    </row>
    <row r="680" ht="15.75" customHeight="1">
      <c r="A680" s="65"/>
    </row>
    <row r="681" ht="15.75" customHeight="1">
      <c r="A681" s="65"/>
    </row>
    <row r="682" ht="15.75" customHeight="1">
      <c r="A682" s="65"/>
    </row>
    <row r="683" ht="15.75" customHeight="1">
      <c r="A683" s="65"/>
    </row>
    <row r="684" ht="15.75" customHeight="1">
      <c r="A684" s="65"/>
    </row>
    <row r="685" ht="15.75" customHeight="1">
      <c r="A685" s="65"/>
    </row>
    <row r="686" ht="15.75" customHeight="1">
      <c r="A686" s="65"/>
    </row>
    <row r="687" ht="15.75" customHeight="1">
      <c r="A687" s="65"/>
    </row>
    <row r="688" ht="15.75" customHeight="1">
      <c r="A688" s="65"/>
    </row>
    <row r="689" ht="15.75" customHeight="1">
      <c r="A689" s="65"/>
    </row>
    <row r="690" ht="15.75" customHeight="1">
      <c r="A690" s="65"/>
    </row>
    <row r="691" ht="15.75" customHeight="1">
      <c r="A691" s="65"/>
    </row>
    <row r="692" ht="15.75" customHeight="1">
      <c r="A692" s="65"/>
    </row>
    <row r="693" ht="15.75" customHeight="1">
      <c r="A693" s="65"/>
    </row>
    <row r="694" ht="15.75" customHeight="1">
      <c r="A694" s="65"/>
    </row>
    <row r="695" ht="15.75" customHeight="1">
      <c r="A695" s="65"/>
    </row>
    <row r="696" ht="15.75" customHeight="1">
      <c r="A696" s="65"/>
    </row>
    <row r="697" ht="15.75" customHeight="1">
      <c r="A697" s="65"/>
    </row>
    <row r="698" ht="15.75" customHeight="1">
      <c r="A698" s="65"/>
    </row>
    <row r="699" ht="15.75" customHeight="1">
      <c r="A699" s="65"/>
    </row>
    <row r="700" ht="15.75" customHeight="1">
      <c r="A700" s="65"/>
    </row>
    <row r="701" ht="15.75" customHeight="1">
      <c r="A701" s="65"/>
    </row>
    <row r="702" ht="15.75" customHeight="1">
      <c r="A702" s="65"/>
    </row>
    <row r="703" ht="15.75" customHeight="1">
      <c r="A703" s="65"/>
    </row>
    <row r="704" ht="15.75" customHeight="1">
      <c r="A704" s="65"/>
    </row>
    <row r="705" ht="15.75" customHeight="1">
      <c r="A705" s="65"/>
    </row>
    <row r="706" ht="15.75" customHeight="1">
      <c r="A706" s="65"/>
    </row>
    <row r="707" ht="15.75" customHeight="1">
      <c r="A707" s="65"/>
    </row>
    <row r="708" ht="15.75" customHeight="1">
      <c r="A708" s="65"/>
    </row>
    <row r="709" ht="15.75" customHeight="1">
      <c r="A709" s="65"/>
    </row>
    <row r="710" ht="15.75" customHeight="1">
      <c r="A710" s="65"/>
    </row>
    <row r="711" ht="15.75" customHeight="1">
      <c r="A711" s="65"/>
    </row>
    <row r="712" ht="15.75" customHeight="1">
      <c r="A712" s="65"/>
    </row>
    <row r="713" ht="15.75" customHeight="1">
      <c r="A713" s="65"/>
    </row>
    <row r="714" ht="15.75" customHeight="1">
      <c r="A714" s="65"/>
    </row>
    <row r="715" ht="15.75" customHeight="1">
      <c r="A715" s="65"/>
    </row>
    <row r="716" ht="15.75" customHeight="1">
      <c r="A716" s="65"/>
    </row>
    <row r="717" ht="15.75" customHeight="1">
      <c r="A717" s="65"/>
    </row>
    <row r="718" ht="15.75" customHeight="1">
      <c r="A718" s="65"/>
    </row>
    <row r="719" ht="15.75" customHeight="1">
      <c r="A719" s="65"/>
    </row>
    <row r="720" ht="15.75" customHeight="1">
      <c r="A720" s="65"/>
    </row>
    <row r="721" ht="15.75" customHeight="1">
      <c r="A721" s="65"/>
    </row>
    <row r="722" ht="15.75" customHeight="1">
      <c r="A722" s="65"/>
    </row>
    <row r="723" ht="15.75" customHeight="1">
      <c r="A723" s="65"/>
    </row>
    <row r="724" ht="15.75" customHeight="1">
      <c r="A724" s="65"/>
    </row>
    <row r="725" ht="15.75" customHeight="1">
      <c r="A725" s="65"/>
    </row>
    <row r="726" ht="15.75" customHeight="1">
      <c r="A726" s="65"/>
    </row>
    <row r="727" ht="15.75" customHeight="1">
      <c r="A727" s="65"/>
    </row>
    <row r="728" ht="15.75" customHeight="1">
      <c r="A728" s="65"/>
    </row>
    <row r="729" ht="15.75" customHeight="1">
      <c r="A729" s="65"/>
    </row>
    <row r="730" ht="15.75" customHeight="1">
      <c r="A730" s="65"/>
    </row>
    <row r="731" ht="15.75" customHeight="1">
      <c r="A731" s="65"/>
    </row>
    <row r="732" ht="15.75" customHeight="1">
      <c r="A732" s="65"/>
    </row>
    <row r="733" ht="15.75" customHeight="1">
      <c r="A733" s="65"/>
    </row>
    <row r="734" ht="15.75" customHeight="1">
      <c r="A734" s="65"/>
    </row>
    <row r="735" ht="15.75" customHeight="1">
      <c r="A735" s="65"/>
    </row>
    <row r="736" ht="15.75" customHeight="1">
      <c r="A736" s="65"/>
    </row>
    <row r="737" ht="15.75" customHeight="1">
      <c r="A737" s="65"/>
    </row>
    <row r="738" ht="15.75" customHeight="1">
      <c r="A738" s="65"/>
    </row>
    <row r="739" ht="15.75" customHeight="1">
      <c r="A739" s="65"/>
    </row>
    <row r="740" ht="15.75" customHeight="1">
      <c r="A740" s="65"/>
    </row>
    <row r="741" ht="15.75" customHeight="1">
      <c r="A741" s="65"/>
    </row>
    <row r="742" ht="15.75" customHeight="1">
      <c r="A742" s="65"/>
    </row>
    <row r="743" ht="15.75" customHeight="1">
      <c r="A743" s="65"/>
    </row>
    <row r="744" ht="15.75" customHeight="1">
      <c r="A744" s="65"/>
    </row>
    <row r="745" ht="15.75" customHeight="1">
      <c r="A745" s="65"/>
    </row>
    <row r="746" ht="15.75" customHeight="1">
      <c r="A746" s="65"/>
    </row>
    <row r="747" ht="15.75" customHeight="1">
      <c r="A747" s="65"/>
    </row>
    <row r="748" ht="15.75" customHeight="1">
      <c r="A748" s="65"/>
    </row>
    <row r="749" ht="15.75" customHeight="1">
      <c r="A749" s="65"/>
    </row>
    <row r="750" ht="15.75" customHeight="1">
      <c r="A750" s="65"/>
    </row>
    <row r="751" ht="15.75" customHeight="1">
      <c r="A751" s="65"/>
    </row>
    <row r="752" ht="15.75" customHeight="1">
      <c r="A752" s="65"/>
    </row>
    <row r="753" ht="15.75" customHeight="1">
      <c r="A753" s="65"/>
    </row>
    <row r="754" ht="15.75" customHeight="1">
      <c r="A754" s="65"/>
    </row>
    <row r="755" ht="15.75" customHeight="1">
      <c r="A755" s="65"/>
    </row>
    <row r="756" ht="15.75" customHeight="1">
      <c r="A756" s="65"/>
    </row>
    <row r="757" ht="15.75" customHeight="1">
      <c r="A757" s="65"/>
    </row>
    <row r="758" ht="15.75" customHeight="1">
      <c r="A758" s="65"/>
    </row>
    <row r="759" ht="15.75" customHeight="1">
      <c r="A759" s="65"/>
    </row>
    <row r="760" ht="15.75" customHeight="1">
      <c r="A760" s="65"/>
    </row>
    <row r="761" ht="15.75" customHeight="1">
      <c r="A761" s="65"/>
    </row>
    <row r="762" ht="15.75" customHeight="1">
      <c r="A762" s="65"/>
    </row>
    <row r="763" ht="15.75" customHeight="1">
      <c r="A763" s="65"/>
    </row>
    <row r="764" ht="15.75" customHeight="1">
      <c r="A764" s="65"/>
    </row>
    <row r="765" ht="15.75" customHeight="1">
      <c r="A765" s="65"/>
    </row>
    <row r="766" ht="15.75" customHeight="1">
      <c r="A766" s="65"/>
    </row>
    <row r="767" ht="15.75" customHeight="1">
      <c r="A767" s="65"/>
    </row>
    <row r="768" ht="15.75" customHeight="1">
      <c r="A768" s="65"/>
    </row>
    <row r="769" ht="15.75" customHeight="1">
      <c r="A769" s="65"/>
    </row>
    <row r="770" ht="15.75" customHeight="1">
      <c r="A770" s="65"/>
    </row>
    <row r="771" ht="15.75" customHeight="1">
      <c r="A771" s="65"/>
    </row>
    <row r="772" ht="15.75" customHeight="1">
      <c r="A772" s="65"/>
    </row>
    <row r="773" ht="15.75" customHeight="1">
      <c r="A773" s="65"/>
    </row>
    <row r="774" ht="15.75" customHeight="1">
      <c r="A774" s="65"/>
    </row>
    <row r="775" ht="15.75" customHeight="1">
      <c r="A775" s="65"/>
    </row>
    <row r="776" ht="15.75" customHeight="1">
      <c r="A776" s="65"/>
    </row>
    <row r="777" ht="15.75" customHeight="1">
      <c r="A777" s="65"/>
    </row>
    <row r="778" ht="15.75" customHeight="1">
      <c r="A778" s="65"/>
    </row>
    <row r="779" ht="15.75" customHeight="1">
      <c r="A779" s="65"/>
    </row>
    <row r="780" ht="15.75" customHeight="1">
      <c r="A780" s="65"/>
    </row>
    <row r="781" ht="15.75" customHeight="1">
      <c r="A781" s="65"/>
    </row>
    <row r="782" ht="15.75" customHeight="1">
      <c r="A782" s="65"/>
    </row>
    <row r="783" ht="15.75" customHeight="1">
      <c r="A783" s="65"/>
    </row>
    <row r="784" ht="15.75" customHeight="1">
      <c r="A784" s="65"/>
    </row>
    <row r="785" ht="15.75" customHeight="1">
      <c r="A785" s="65"/>
    </row>
    <row r="786" ht="15.75" customHeight="1">
      <c r="A786" s="65"/>
    </row>
    <row r="787" ht="15.75" customHeight="1">
      <c r="A787" s="65"/>
    </row>
    <row r="788" ht="15.75" customHeight="1">
      <c r="A788" s="65"/>
    </row>
    <row r="789" ht="15.75" customHeight="1">
      <c r="A789" s="65"/>
    </row>
    <row r="790" ht="15.75" customHeight="1">
      <c r="A790" s="65"/>
    </row>
    <row r="791" ht="15.75" customHeight="1">
      <c r="A791" s="65"/>
    </row>
    <row r="792" ht="15.75" customHeight="1">
      <c r="A792" s="65"/>
    </row>
    <row r="793" ht="15.75" customHeight="1">
      <c r="A793" s="65"/>
    </row>
    <row r="794" ht="15.75" customHeight="1">
      <c r="A794" s="65"/>
    </row>
    <row r="795" ht="15.75" customHeight="1">
      <c r="A795" s="65"/>
    </row>
    <row r="796" ht="15.75" customHeight="1">
      <c r="A796" s="65"/>
    </row>
    <row r="797" ht="15.75" customHeight="1">
      <c r="A797" s="65"/>
    </row>
    <row r="798" ht="15.75" customHeight="1">
      <c r="A798" s="65"/>
    </row>
    <row r="799" ht="15.75" customHeight="1">
      <c r="A799" s="65"/>
    </row>
    <row r="800" ht="15.75" customHeight="1">
      <c r="A800" s="65"/>
    </row>
    <row r="801" ht="15.75" customHeight="1">
      <c r="A801" s="65"/>
    </row>
    <row r="802" ht="15.75" customHeight="1">
      <c r="A802" s="65"/>
    </row>
    <row r="803" ht="15.75" customHeight="1">
      <c r="A803" s="65"/>
    </row>
    <row r="804" ht="15.75" customHeight="1">
      <c r="A804" s="65"/>
    </row>
    <row r="805" ht="15.75" customHeight="1">
      <c r="A805" s="65"/>
    </row>
    <row r="806" ht="15.75" customHeight="1">
      <c r="A806" s="65"/>
    </row>
    <row r="807" ht="15.75" customHeight="1">
      <c r="A807" s="65"/>
    </row>
    <row r="808" ht="15.75" customHeight="1">
      <c r="A808" s="65"/>
    </row>
    <row r="809" ht="15.75" customHeight="1">
      <c r="A809" s="65"/>
    </row>
    <row r="810" ht="15.75" customHeight="1">
      <c r="A810" s="65"/>
    </row>
    <row r="811" ht="15.75" customHeight="1">
      <c r="A811" s="65"/>
    </row>
    <row r="812" ht="15.75" customHeight="1">
      <c r="A812" s="65"/>
    </row>
    <row r="813" ht="15.75" customHeight="1">
      <c r="A813" s="65"/>
    </row>
    <row r="814" ht="15.75" customHeight="1">
      <c r="A814" s="65"/>
    </row>
    <row r="815" ht="15.75" customHeight="1">
      <c r="A815" s="65"/>
    </row>
    <row r="816" ht="15.75" customHeight="1">
      <c r="A816" s="65"/>
    </row>
    <row r="817" ht="15.75" customHeight="1">
      <c r="A817" s="65"/>
    </row>
    <row r="818" ht="15.75" customHeight="1">
      <c r="A818" s="65"/>
    </row>
    <row r="819" ht="15.75" customHeight="1">
      <c r="A819" s="65"/>
    </row>
    <row r="820" ht="15.75" customHeight="1">
      <c r="A820" s="65"/>
    </row>
    <row r="821" ht="15.75" customHeight="1">
      <c r="A821" s="65"/>
    </row>
    <row r="822" ht="15.75" customHeight="1">
      <c r="A822" s="65"/>
    </row>
    <row r="823" ht="15.75" customHeight="1">
      <c r="A823" s="65"/>
    </row>
    <row r="824" ht="15.75" customHeight="1">
      <c r="A824" s="65"/>
    </row>
    <row r="825" ht="15.75" customHeight="1">
      <c r="A825" s="65"/>
    </row>
    <row r="826" ht="15.75" customHeight="1">
      <c r="A826" s="65"/>
    </row>
    <row r="827" ht="15.75" customHeight="1">
      <c r="A827" s="65"/>
    </row>
    <row r="828" ht="15.75" customHeight="1">
      <c r="A828" s="65"/>
    </row>
    <row r="829" ht="15.75" customHeight="1">
      <c r="A829" s="65"/>
    </row>
    <row r="830" ht="15.75" customHeight="1">
      <c r="A830" s="65"/>
    </row>
    <row r="831" ht="15.75" customHeight="1">
      <c r="A831" s="65"/>
    </row>
    <row r="832" ht="15.75" customHeight="1">
      <c r="A832" s="65"/>
    </row>
    <row r="833" ht="15.75" customHeight="1">
      <c r="A833" s="65"/>
    </row>
    <row r="834" ht="15.75" customHeight="1">
      <c r="A834" s="65"/>
    </row>
    <row r="835" ht="15.75" customHeight="1">
      <c r="A835" s="65"/>
    </row>
    <row r="836" ht="15.75" customHeight="1">
      <c r="A836" s="65"/>
    </row>
    <row r="837" ht="15.75" customHeight="1">
      <c r="A837" s="65"/>
    </row>
    <row r="838" ht="15.75" customHeight="1">
      <c r="A838" s="65"/>
    </row>
    <row r="839" ht="15.75" customHeight="1">
      <c r="A839" s="65"/>
    </row>
    <row r="840" ht="15.75" customHeight="1">
      <c r="A840" s="65"/>
    </row>
    <row r="841" ht="15.75" customHeight="1">
      <c r="A841" s="65"/>
    </row>
    <row r="842" ht="15.75" customHeight="1">
      <c r="A842" s="65"/>
    </row>
    <row r="843" ht="15.75" customHeight="1">
      <c r="A843" s="65"/>
    </row>
    <row r="844" ht="15.75" customHeight="1">
      <c r="A844" s="65"/>
    </row>
    <row r="845" ht="15.75" customHeight="1">
      <c r="A845" s="65"/>
    </row>
    <row r="846" ht="15.75" customHeight="1">
      <c r="A846" s="65"/>
    </row>
    <row r="847" ht="15.75" customHeight="1">
      <c r="A847" s="65"/>
    </row>
    <row r="848" ht="15.75" customHeight="1">
      <c r="A848" s="65"/>
    </row>
    <row r="849" ht="15.75" customHeight="1">
      <c r="A849" s="65"/>
    </row>
    <row r="850" ht="15.75" customHeight="1">
      <c r="A850" s="65"/>
    </row>
    <row r="851" ht="15.75" customHeight="1">
      <c r="A851" s="65"/>
    </row>
    <row r="852" ht="15.75" customHeight="1">
      <c r="A852" s="65"/>
    </row>
    <row r="853" ht="15.75" customHeight="1">
      <c r="A853" s="65"/>
    </row>
    <row r="854" ht="15.75" customHeight="1">
      <c r="A854" s="65"/>
    </row>
    <row r="855" ht="15.75" customHeight="1">
      <c r="A855" s="65"/>
    </row>
    <row r="856" ht="15.75" customHeight="1">
      <c r="A856" s="65"/>
    </row>
    <row r="857" ht="15.75" customHeight="1">
      <c r="A857" s="65"/>
    </row>
    <row r="858" ht="15.75" customHeight="1">
      <c r="A858" s="65"/>
    </row>
    <row r="859" ht="15.75" customHeight="1">
      <c r="A859" s="65"/>
    </row>
    <row r="860" ht="15.75" customHeight="1">
      <c r="A860" s="65"/>
    </row>
    <row r="861" ht="15.75" customHeight="1">
      <c r="A861" s="65"/>
    </row>
    <row r="862" ht="15.75" customHeight="1">
      <c r="A862" s="65"/>
    </row>
    <row r="863" ht="15.75" customHeight="1">
      <c r="A863" s="65"/>
    </row>
    <row r="864" ht="15.75" customHeight="1">
      <c r="A864" s="65"/>
    </row>
    <row r="865" ht="15.75" customHeight="1">
      <c r="A865" s="65"/>
    </row>
    <row r="866" ht="15.75" customHeight="1">
      <c r="A866" s="65"/>
    </row>
    <row r="867" ht="15.75" customHeight="1">
      <c r="A867" s="65"/>
    </row>
    <row r="868" ht="15.75" customHeight="1">
      <c r="A868" s="65"/>
    </row>
    <row r="869" ht="15.75" customHeight="1">
      <c r="A869" s="65"/>
    </row>
    <row r="870" ht="15.75" customHeight="1">
      <c r="A870" s="65"/>
    </row>
    <row r="871" ht="15.75" customHeight="1">
      <c r="A871" s="65"/>
    </row>
    <row r="872" ht="15.75" customHeight="1">
      <c r="A872" s="65"/>
    </row>
    <row r="873" ht="15.75" customHeight="1">
      <c r="A873" s="65"/>
    </row>
    <row r="874" ht="15.75" customHeight="1">
      <c r="A874" s="65"/>
    </row>
    <row r="875" ht="15.75" customHeight="1">
      <c r="A875" s="65"/>
    </row>
    <row r="876" ht="15.75" customHeight="1">
      <c r="A876" s="65"/>
    </row>
    <row r="877" ht="15.75" customHeight="1">
      <c r="A877" s="65"/>
    </row>
    <row r="878" ht="15.75" customHeight="1">
      <c r="A878" s="65"/>
    </row>
    <row r="879" ht="15.75" customHeight="1">
      <c r="A879" s="65"/>
    </row>
    <row r="880" ht="15.75" customHeight="1">
      <c r="A880" s="65"/>
    </row>
    <row r="881" ht="15.75" customHeight="1">
      <c r="A881" s="65"/>
    </row>
    <row r="882" ht="15.75" customHeight="1">
      <c r="A882" s="65"/>
    </row>
    <row r="883" ht="15.75" customHeight="1">
      <c r="A883" s="65"/>
    </row>
    <row r="884" ht="15.75" customHeight="1">
      <c r="A884" s="65"/>
    </row>
    <row r="885" ht="15.75" customHeight="1">
      <c r="A885" s="65"/>
    </row>
    <row r="886" ht="15.75" customHeight="1">
      <c r="A886" s="65"/>
    </row>
    <row r="887" ht="15.75" customHeight="1">
      <c r="A887" s="65"/>
    </row>
    <row r="888" ht="15.75" customHeight="1">
      <c r="A888" s="65"/>
    </row>
    <row r="889" ht="15.75" customHeight="1">
      <c r="A889" s="65"/>
    </row>
    <row r="890" ht="15.75" customHeight="1">
      <c r="A890" s="65"/>
    </row>
    <row r="891" ht="15.75" customHeight="1">
      <c r="A891" s="65"/>
    </row>
    <row r="892" ht="15.75" customHeight="1">
      <c r="A892" s="65"/>
    </row>
    <row r="893" ht="15.75" customHeight="1">
      <c r="A893" s="65"/>
    </row>
    <row r="894" ht="15.75" customHeight="1">
      <c r="A894" s="65"/>
    </row>
    <row r="895" ht="15.75" customHeight="1">
      <c r="A895" s="65"/>
    </row>
    <row r="896" ht="15.75" customHeight="1">
      <c r="A896" s="65"/>
    </row>
    <row r="897" ht="15.75" customHeight="1">
      <c r="A897" s="65"/>
    </row>
    <row r="898" ht="15.75" customHeight="1">
      <c r="A898" s="65"/>
    </row>
    <row r="899" ht="15.75" customHeight="1">
      <c r="A899" s="65"/>
    </row>
    <row r="900" ht="15.75" customHeight="1">
      <c r="A900" s="65"/>
    </row>
    <row r="901" ht="15.75" customHeight="1">
      <c r="A901" s="65"/>
    </row>
    <row r="902" ht="15.75" customHeight="1">
      <c r="A902" s="65"/>
    </row>
    <row r="903" ht="15.75" customHeight="1">
      <c r="A903" s="65"/>
    </row>
    <row r="904" ht="15.75" customHeight="1">
      <c r="A904" s="65"/>
    </row>
    <row r="905" ht="15.75" customHeight="1">
      <c r="A905" s="65"/>
    </row>
    <row r="906" ht="15.75" customHeight="1">
      <c r="A906" s="65"/>
    </row>
    <row r="907" ht="15.75" customHeight="1">
      <c r="A907" s="65"/>
    </row>
    <row r="908" ht="15.75" customHeight="1">
      <c r="A908" s="65"/>
    </row>
    <row r="909" ht="15.75" customHeight="1">
      <c r="A909" s="65"/>
    </row>
    <row r="910" ht="15.75" customHeight="1">
      <c r="A910" s="65"/>
    </row>
    <row r="911" ht="15.75" customHeight="1">
      <c r="A911" s="65"/>
    </row>
    <row r="912" ht="15.75" customHeight="1">
      <c r="A912" s="65"/>
    </row>
    <row r="913" ht="15.75" customHeight="1">
      <c r="A913" s="65"/>
    </row>
    <row r="914" ht="15.75" customHeight="1">
      <c r="A914" s="65"/>
    </row>
    <row r="915" ht="15.75" customHeight="1">
      <c r="A915" s="65"/>
    </row>
    <row r="916" ht="15.75" customHeight="1">
      <c r="A916" s="65"/>
    </row>
    <row r="917" ht="15.75" customHeight="1">
      <c r="A917" s="65"/>
    </row>
    <row r="918" ht="15.75" customHeight="1">
      <c r="A918" s="65"/>
    </row>
    <row r="919" ht="15.75" customHeight="1">
      <c r="A919" s="65"/>
    </row>
    <row r="920" ht="15.75" customHeight="1">
      <c r="A920" s="65"/>
    </row>
    <row r="921" ht="15.75" customHeight="1">
      <c r="A921" s="65"/>
    </row>
    <row r="922" ht="15.75" customHeight="1">
      <c r="A922" s="65"/>
    </row>
    <row r="923" ht="15.75" customHeight="1">
      <c r="A923" s="65"/>
    </row>
    <row r="924" ht="15.75" customHeight="1">
      <c r="A924" s="65"/>
    </row>
    <row r="925" ht="15.75" customHeight="1">
      <c r="A925" s="65"/>
    </row>
    <row r="926" ht="15.75" customHeight="1">
      <c r="A926" s="65"/>
    </row>
    <row r="927" ht="15.75" customHeight="1">
      <c r="A927" s="65"/>
    </row>
    <row r="928" ht="15.75" customHeight="1">
      <c r="A928" s="65"/>
    </row>
    <row r="929" ht="15.75" customHeight="1">
      <c r="A929" s="65"/>
    </row>
    <row r="930" ht="15.75" customHeight="1">
      <c r="A930" s="65"/>
    </row>
    <row r="931" ht="15.75" customHeight="1">
      <c r="A931" s="65"/>
    </row>
    <row r="932" ht="15.75" customHeight="1">
      <c r="A932" s="65"/>
    </row>
    <row r="933" ht="15.75" customHeight="1">
      <c r="A933" s="65"/>
    </row>
    <row r="934" ht="15.75" customHeight="1">
      <c r="A934" s="65"/>
    </row>
    <row r="935" ht="15.75" customHeight="1">
      <c r="A935" s="65"/>
    </row>
    <row r="936" ht="15.75" customHeight="1">
      <c r="A936" s="65"/>
    </row>
    <row r="937" ht="15.75" customHeight="1">
      <c r="A937" s="65"/>
    </row>
    <row r="938" ht="15.75" customHeight="1">
      <c r="A938" s="65"/>
    </row>
    <row r="939" ht="15.75" customHeight="1">
      <c r="A939" s="65"/>
    </row>
    <row r="940" ht="15.75" customHeight="1">
      <c r="A940" s="65"/>
    </row>
    <row r="941" ht="15.75" customHeight="1">
      <c r="A941" s="65"/>
    </row>
    <row r="942" ht="15.75" customHeight="1">
      <c r="A942" s="65"/>
    </row>
    <row r="943" ht="15.75" customHeight="1">
      <c r="A943" s="65"/>
    </row>
    <row r="944" ht="15.75" customHeight="1">
      <c r="A944" s="65"/>
    </row>
    <row r="945" ht="15.75" customHeight="1">
      <c r="A945" s="65"/>
    </row>
    <row r="946" ht="15.75" customHeight="1">
      <c r="A946" s="65"/>
    </row>
    <row r="947" ht="15.75" customHeight="1">
      <c r="A947" s="65"/>
    </row>
    <row r="948" ht="15.75" customHeight="1">
      <c r="A948" s="65"/>
    </row>
    <row r="949" ht="15.75" customHeight="1">
      <c r="A949" s="65"/>
    </row>
    <row r="950" ht="15.75" customHeight="1">
      <c r="A950" s="65"/>
    </row>
    <row r="951" ht="15.75" customHeight="1">
      <c r="A951" s="65"/>
    </row>
    <row r="952" ht="15.75" customHeight="1">
      <c r="A952" s="65"/>
    </row>
    <row r="953" ht="15.75" customHeight="1">
      <c r="A953" s="65"/>
    </row>
    <row r="954" ht="15.75" customHeight="1">
      <c r="A954" s="65"/>
    </row>
    <row r="955" ht="15.75" customHeight="1">
      <c r="A955" s="65"/>
    </row>
    <row r="956" ht="15.75" customHeight="1">
      <c r="A956" s="65"/>
    </row>
    <row r="957" ht="15.75" customHeight="1">
      <c r="A957" s="65"/>
    </row>
    <row r="958" ht="15.75" customHeight="1">
      <c r="A958" s="65"/>
    </row>
    <row r="959" ht="15.75" customHeight="1">
      <c r="A959" s="65"/>
    </row>
    <row r="960" ht="15.75" customHeight="1">
      <c r="A960" s="65"/>
    </row>
    <row r="961" ht="15.75" customHeight="1">
      <c r="A961" s="65"/>
    </row>
    <row r="962" ht="15.75" customHeight="1">
      <c r="A962" s="65"/>
    </row>
    <row r="963" ht="15.75" customHeight="1">
      <c r="A963" s="65"/>
    </row>
    <row r="964" ht="15.75" customHeight="1">
      <c r="A964" s="65"/>
    </row>
    <row r="965" ht="15.75" customHeight="1">
      <c r="A965" s="65"/>
    </row>
    <row r="966" ht="15.75" customHeight="1">
      <c r="A966" s="65"/>
    </row>
    <row r="967" ht="15.75" customHeight="1">
      <c r="A967" s="65"/>
    </row>
    <row r="968" ht="15.75" customHeight="1">
      <c r="A968" s="65"/>
    </row>
    <row r="969" ht="15.75" customHeight="1">
      <c r="A969" s="65"/>
    </row>
    <row r="970" ht="15.75" customHeight="1">
      <c r="A970" s="65"/>
    </row>
    <row r="971" ht="15.75" customHeight="1">
      <c r="A971" s="65"/>
    </row>
    <row r="972" ht="15.75" customHeight="1">
      <c r="A972" s="65"/>
    </row>
    <row r="973" ht="15.75" customHeight="1">
      <c r="A973" s="65"/>
    </row>
    <row r="974" ht="15.75" customHeight="1">
      <c r="A974" s="65"/>
    </row>
    <row r="975" ht="15.75" customHeight="1">
      <c r="A975" s="65"/>
    </row>
    <row r="976" ht="15.75" customHeight="1">
      <c r="A976" s="65"/>
    </row>
    <row r="977" ht="15.75" customHeight="1">
      <c r="A977" s="65"/>
    </row>
    <row r="978" ht="15.75" customHeight="1">
      <c r="A978" s="65"/>
    </row>
    <row r="979" ht="15.75" customHeight="1">
      <c r="A979" s="65"/>
    </row>
    <row r="980" ht="15.75" customHeight="1">
      <c r="A980" s="65"/>
    </row>
    <row r="981" ht="15.75" customHeight="1">
      <c r="A981" s="65"/>
    </row>
    <row r="982" ht="15.75" customHeight="1">
      <c r="A982" s="65"/>
    </row>
    <row r="983" ht="15.75" customHeight="1">
      <c r="A983" s="65"/>
    </row>
    <row r="984" ht="15.75" customHeight="1">
      <c r="A984" s="65"/>
    </row>
    <row r="985" ht="15.75" customHeight="1">
      <c r="A985" s="65"/>
    </row>
    <row r="986" ht="15.75" customHeight="1">
      <c r="A986" s="65"/>
    </row>
    <row r="987" ht="15.75" customHeight="1">
      <c r="A987" s="65"/>
    </row>
    <row r="988" ht="15.75" customHeight="1">
      <c r="A988" s="65"/>
    </row>
    <row r="989" ht="15.75" customHeight="1">
      <c r="A989" s="65"/>
    </row>
    <row r="990" ht="15.75" customHeight="1">
      <c r="A990" s="65"/>
    </row>
    <row r="991" ht="15.75" customHeight="1">
      <c r="A991" s="65"/>
    </row>
    <row r="992" ht="15.75" customHeight="1">
      <c r="A992" s="65"/>
    </row>
    <row r="993" ht="15.75" customHeight="1">
      <c r="A993" s="65"/>
    </row>
    <row r="994" ht="15.75" customHeight="1">
      <c r="A994" s="65"/>
    </row>
    <row r="995" ht="15.75" customHeight="1">
      <c r="A995" s="65"/>
    </row>
    <row r="996" ht="15.75" customHeight="1">
      <c r="A996" s="65"/>
    </row>
    <row r="997" ht="15.75" customHeight="1">
      <c r="A997" s="65"/>
    </row>
    <row r="998" ht="15.75" customHeight="1">
      <c r="A998" s="65"/>
    </row>
    <row r="999" ht="15.75" customHeight="1">
      <c r="A999" s="65"/>
    </row>
    <row r="1000" ht="15.75" customHeight="1">
      <c r="A1000" s="65"/>
    </row>
    <row r="1001" ht="15.75" customHeight="1">
      <c r="A1001" s="65"/>
    </row>
    <row r="1002" ht="15.75" customHeight="1">
      <c r="A1002" s="65"/>
    </row>
    <row r="1003" ht="15.75" customHeight="1">
      <c r="A1003" s="65"/>
    </row>
    <row r="1004" ht="15.75" customHeight="1">
      <c r="A1004" s="65"/>
    </row>
    <row r="1005" ht="15.75" customHeight="1">
      <c r="A1005" s="65"/>
    </row>
    <row r="1006" ht="15.75" customHeight="1">
      <c r="A1006" s="65"/>
    </row>
    <row r="1007" ht="15.75" customHeight="1">
      <c r="A1007" s="65"/>
    </row>
    <row r="1008" ht="15.75" customHeight="1">
      <c r="A1008" s="65"/>
    </row>
    <row r="1009" ht="15.75" customHeight="1">
      <c r="A1009" s="65"/>
    </row>
  </sheetData>
  <mergeCells count="1">
    <mergeCell ref="B1:G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2025-12-08T09:54:17Z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