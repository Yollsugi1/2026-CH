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40" tabRatio="600" firstSheet="0" activeTab="1" autoFilterDateGrouping="1"/>
  </bookViews>
  <sheets>
    <sheet xmlns:r="http://schemas.openxmlformats.org/officeDocument/2006/relationships" name="Fin.(26년상반기)예산안" sheetId="1" state="visible" r:id="rId1"/>
    <sheet xmlns:r="http://schemas.openxmlformats.org/officeDocument/2006/relationships" name="(26년상반기)예산 개요 (ver.2)" sheetId="2" state="visible" r:id="rId2"/>
    <sheet xmlns:r="http://schemas.openxmlformats.org/officeDocument/2006/relationships" name="개별 단가" sheetId="3" state="visible" r:id="rId3"/>
    <sheet xmlns:r="http://schemas.openxmlformats.org/officeDocument/2006/relationships" name="시나리오" sheetId="4" state="visible" r:id="rId4"/>
    <sheet xmlns:r="http://schemas.openxmlformats.org/officeDocument/2006/relationships" name="26.01" sheetId="5" state="visible" r:id="rId5"/>
    <sheet xmlns:r="http://schemas.openxmlformats.org/officeDocument/2006/relationships" name="(archive)★단가표" sheetId="6" state="visible" r:id="rId6"/>
    <sheet xmlns:r="http://schemas.openxmlformats.org/officeDocument/2006/relationships" name="25.0809" sheetId="7" state="visible" r:id="rId7"/>
    <sheet xmlns:r="http://schemas.openxmlformats.org/officeDocument/2006/relationships" name="25.10" sheetId="8" state="visible" r:id="rId8"/>
    <sheet xmlns:r="http://schemas.openxmlformats.org/officeDocument/2006/relationships" name="25.11" sheetId="9" state="visible" r:id="rId9"/>
    <sheet xmlns:r="http://schemas.openxmlformats.org/officeDocument/2006/relationships" name="25.12" sheetId="10" state="visible" r:id="rId10"/>
    <sheet xmlns:r="http://schemas.openxmlformats.org/officeDocument/2006/relationships" name="(점검본)25.0809" sheetId="11" state="hidden" r:id="rId11"/>
    <sheet xmlns:r="http://schemas.openxmlformats.org/officeDocument/2006/relationships" name="(CH 재조정)25.0809" sheetId="12" state="hidden" r:id="rId12"/>
    <sheet xmlns:r="http://schemas.openxmlformats.org/officeDocument/2006/relationships" name="1차작성 (26년상반기)예산안" sheetId="13" state="hidden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52">
    <font>
      <name val="Arial"/>
      <color rgb="FF000000"/>
      <sz val="10"/>
      <scheme val="minor"/>
    </font>
    <font>
      <name val="Arial"/>
      <b val="1"/>
      <color theme="1"/>
      <sz val="13"/>
      <scheme val="minor"/>
    </font>
    <font>
      <name val="Noto Sans"/>
      <b val="1"/>
      <color rgb="FF000000"/>
      <sz val="11"/>
    </font>
    <font>
      <name val="Arial"/>
      <color theme="1"/>
      <sz val="10"/>
      <scheme val="minor"/>
    </font>
    <font>
      <name val="Noto Sans"/>
      <color theme="1"/>
      <sz val="11"/>
    </font>
    <font>
      <name val="Calibri"/>
      <color theme="1"/>
      <sz val="11"/>
    </font>
    <font>
      <name val="Arial"/>
      <sz val="10"/>
    </font>
    <font>
      <name val="Noto Sans"/>
      <color rgb="FFFF0000"/>
      <sz val="11"/>
    </font>
    <font>
      <name val="Calibri"/>
      <b val="1"/>
      <color theme="1"/>
      <sz val="11"/>
    </font>
    <font>
      <name val="Noto Sans"/>
      <b val="1"/>
      <color rgb="FFFFFFFF"/>
      <sz val="11"/>
    </font>
    <font>
      <name val="Calibri"/>
      <color rgb="FFFFFFFF"/>
      <sz val="11"/>
    </font>
    <font>
      <name val="Noto Sans"/>
      <color rgb="FF000000"/>
      <sz val="11"/>
    </font>
    <font>
      <name val="Arial"/>
      <color theme="1"/>
      <sz val="11"/>
    </font>
    <font>
      <name val="Noto Sans"/>
      <b val="1"/>
      <color theme="1"/>
      <sz val="11"/>
    </font>
    <font>
      <name val="Arial"/>
      <color theme="1"/>
      <sz val="10"/>
    </font>
    <font>
      <name val="Arial"/>
      <b val="1"/>
      <color rgb="FFCC0000"/>
      <sz val="11"/>
      <u val="single"/>
    </font>
    <font>
      <name val="Calibri"/>
      <color theme="1"/>
      <sz val="10"/>
    </font>
    <font>
      <name val="Arial"/>
      <b val="1"/>
      <color theme="1"/>
      <sz val="10"/>
    </font>
    <font>
      <name val="Arial"/>
      <i val="1"/>
      <color theme="1"/>
      <sz val="9"/>
    </font>
    <font>
      <name val="&quot;맑은 고딕&quot;"/>
      <charset val="129"/>
      <family val="3"/>
      <color rgb="FF000000"/>
      <sz val="11"/>
    </font>
    <font>
      <name val="&quot;맑은 고딕&quot;"/>
      <color rgb="FF000000"/>
      <sz val="10"/>
    </font>
    <font>
      <name val="Arial"/>
      <family val="2"/>
      <b val="1"/>
      <color rgb="FFFFFFFF"/>
      <sz val="10"/>
    </font>
    <font>
      <name val="Arial"/>
      <family val="2"/>
      <i val="1"/>
      <color theme="1"/>
      <sz val="10"/>
    </font>
    <font>
      <name val="Arial"/>
      <family val="2"/>
      <b val="1"/>
      <color rgb="FF3D85C6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FF"/>
      <sz val="10"/>
      <scheme val="minor"/>
    </font>
    <font>
      <name val="Arial"/>
      <family val="2"/>
      <color rgb="FF0000FF"/>
      <sz val="10"/>
      <scheme val="minor"/>
    </font>
    <font>
      <name val="Arial"/>
      <family val="2"/>
      <b val="1"/>
      <color theme="1"/>
      <sz val="12"/>
      <scheme val="minor"/>
    </font>
    <font>
      <name val="&quot;맑은 고딕&quot;"/>
      <b val="1"/>
      <color rgb="FF000000"/>
      <sz val="9"/>
    </font>
    <font>
      <name val="&quot;맑은 고딕&quot;"/>
      <color rgb="FF000000"/>
      <sz val="9"/>
    </font>
    <font>
      <name val="&quot;맑은 고딕&quot;"/>
      <b val="1"/>
      <color rgb="FFFF00FF"/>
      <sz val="9"/>
    </font>
    <font>
      <name val="Arial"/>
      <family val="2"/>
      <color rgb="FF4A86E8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C0000"/>
      <sz val="11"/>
    </font>
    <font>
      <name val="Arial"/>
      <family val="2"/>
      <b val="1"/>
      <color rgb="FF1155CC"/>
      <sz val="11"/>
      <u val="single"/>
    </font>
    <font>
      <name val="Calibri"/>
      <family val="2"/>
      <color theme="1"/>
      <sz val="11"/>
    </font>
    <font>
      <name val="Calibri"/>
      <family val="2"/>
      <i val="1"/>
      <color theme="1"/>
      <sz val="10"/>
    </font>
    <font>
      <name val="Calibri"/>
      <family val="2"/>
      <i val="1"/>
      <color rgb="FF0000FF"/>
      <sz val="10"/>
    </font>
    <font>
      <name val="Calibri"/>
      <family val="2"/>
      <color theme="1"/>
      <sz val="10"/>
    </font>
    <font>
      <name val="&quot;맑은 고딕&quot;"/>
      <color rgb="FF9900FF"/>
      <sz val="9"/>
    </font>
    <font>
      <name val="&quot;맑은 고딕&quot;"/>
      <b val="1"/>
      <color rgb="FF000000"/>
      <sz val="9"/>
      <u val="single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  <u val="single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color rgb="FFFF00FF"/>
      <sz val="10"/>
    </font>
    <font>
      <name val="Arial"/>
      <charset val="129"/>
      <family val="3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1F3864"/>
        <bgColor rgb="FF1F3864"/>
      </patternFill>
    </fill>
    <fill>
      <patternFill patternType="solid">
        <fgColor rgb="FFB7B7B7"/>
        <bgColor rgb="FFB7B7B7"/>
      </patternFill>
    </fill>
  </fills>
  <borders count="3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4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4" fillId="0" borderId="1" applyAlignment="1" pivotButton="0" quotePrefix="1" xfId="0">
      <alignment horizontal="left"/>
    </xf>
    <xf numFmtId="0" fontId="7" fillId="0" borderId="1" applyAlignment="1" pivotButton="0" quotePrefix="0" xfId="0">
      <alignment horizontal="left"/>
    </xf>
    <xf numFmtId="3" fontId="8" fillId="3" borderId="1" applyAlignment="1" pivotButton="0" quotePrefix="0" xfId="0">
      <alignment horizontal="right"/>
    </xf>
    <xf numFmtId="0" fontId="5" fillId="3" borderId="1" pivotButton="0" quotePrefix="0" xfId="0"/>
    <xf numFmtId="0" fontId="10" fillId="4" borderId="1" pivotButton="0" quotePrefix="0" xfId="0"/>
    <xf numFmtId="0" fontId="10" fillId="4" borderId="1" pivotButton="0" quotePrefix="0" xfId="0"/>
    <xf numFmtId="0" fontId="11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pivotButton="0" quotePrefix="0" xfId="0"/>
    <xf numFmtId="0" fontId="4" fillId="0" borderId="8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/>
    </xf>
    <xf numFmtId="3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3" fontId="5" fillId="2" borderId="1" pivotButton="0" quotePrefix="0" xfId="0"/>
    <xf numFmtId="0" fontId="5" fillId="2" borderId="1" pivotButton="0" quotePrefix="0" xfId="0"/>
    <xf numFmtId="0" fontId="14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3" fontId="5" fillId="0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0" fontId="5" fillId="6" borderId="1" pivotButton="0" quotePrefix="0" xfId="0"/>
    <xf numFmtId="0" fontId="5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wrapText="1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4" fillId="0" borderId="1" applyAlignment="1" pivotButton="0" quotePrefix="1" xfId="0">
      <alignment horizontal="left" vertical="center"/>
    </xf>
    <xf numFmtId="0" fontId="7" fillId="0" borderId="1" applyAlignment="1" pivotButton="0" quotePrefix="0" xfId="0">
      <alignment horizontal="left" vertical="center"/>
    </xf>
    <xf numFmtId="3" fontId="8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1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6" fillId="3" borderId="1" applyAlignment="1" pivotButton="0" quotePrefix="0" xfId="0">
      <alignment vertical="center"/>
    </xf>
    <xf numFmtId="0" fontId="4" fillId="7" borderId="4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3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3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8" borderId="16" applyAlignment="1" pivotButton="0" quotePrefix="0" xfId="0">
      <alignment horizontal="center"/>
    </xf>
    <xf numFmtId="0" fontId="14" fillId="0" borderId="16" pivotButton="0" quotePrefix="0" xfId="0"/>
    <xf numFmtId="0" fontId="14" fillId="0" borderId="16" applyAlignment="1" pivotButton="0" quotePrefix="0" xfId="0">
      <alignment horizontal="center"/>
    </xf>
    <xf numFmtId="164" fontId="14" fillId="0" borderId="16" applyAlignment="1" pivotButton="0" quotePrefix="0" xfId="0">
      <alignment horizontal="right"/>
    </xf>
    <xf numFmtId="0" fontId="14" fillId="0" borderId="16" pivotButton="0" quotePrefix="0" xfId="0"/>
    <xf numFmtId="0" fontId="17" fillId="0" borderId="16" pivotButton="0" quotePrefix="0" xfId="0"/>
    <xf numFmtId="0" fontId="17" fillId="0" borderId="16" applyAlignment="1" pivotButton="0" quotePrefix="0" xfId="0">
      <alignment horizontal="center"/>
    </xf>
    <xf numFmtId="164" fontId="17" fillId="0" borderId="16" applyAlignment="1" pivotButton="0" quotePrefix="0" xfId="0">
      <alignment horizontal="right"/>
    </xf>
    <xf numFmtId="0" fontId="17" fillId="0" borderId="16" applyAlignment="1" pivotButton="0" quotePrefix="0" xfId="0">
      <alignment horizontal="left"/>
    </xf>
    <xf numFmtId="0" fontId="14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23" fillId="0" borderId="0" pivotButton="0" quotePrefix="0" xfId="0"/>
    <xf numFmtId="164" fontId="14" fillId="5" borderId="16" applyAlignment="1" pivotButton="0" quotePrefix="0" xfId="0">
      <alignment horizontal="right"/>
    </xf>
    <xf numFmtId="0" fontId="14" fillId="5" borderId="16" pivotButton="0" quotePrefix="0" xfId="0"/>
    <xf numFmtId="10" fontId="14" fillId="5" borderId="16" applyAlignment="1" pivotButton="0" quotePrefix="0" xfId="0">
      <alignment horizontal="right"/>
    </xf>
    <xf numFmtId="10" fontId="14" fillId="0" borderId="16" applyAlignment="1" pivotButton="0" quotePrefix="0" xfId="0">
      <alignment horizontal="right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0" fontId="24" fillId="0" borderId="17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3" fontId="3" fillId="0" borderId="18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1" xfId="0">
      <alignment vertical="center"/>
    </xf>
    <xf numFmtId="0" fontId="25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3" fontId="3" fillId="2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3" fontId="24" fillId="0" borderId="0" applyAlignment="1" pivotButton="0" quotePrefix="0" xfId="0">
      <alignment vertical="center"/>
    </xf>
    <xf numFmtId="0" fontId="24" fillId="0" borderId="0" pivotButton="0" quotePrefix="0" xfId="0"/>
    <xf numFmtId="0" fontId="24" fillId="0" borderId="0" pivotButton="0" quotePrefix="0" xfId="0"/>
    <xf numFmtId="0" fontId="27" fillId="0" borderId="0" applyAlignment="1" pivotButton="0" quotePrefix="0" xfId="0">
      <alignment vertical="top"/>
    </xf>
    <xf numFmtId="0" fontId="29" fillId="0" borderId="0" applyAlignment="1" pivotButton="0" quotePrefix="0" xfId="0">
      <alignment vertical="center" wrapText="1"/>
    </xf>
    <xf numFmtId="0" fontId="28" fillId="6" borderId="25" applyAlignment="1" pivotButton="0" quotePrefix="0" xfId="0">
      <alignment horizontal="center" vertical="center" wrapText="1"/>
    </xf>
    <xf numFmtId="0" fontId="28" fillId="6" borderId="18" applyAlignment="1" pivotButton="0" quotePrefix="0" xfId="0">
      <alignment horizontal="center" vertical="center" wrapText="1"/>
    </xf>
    <xf numFmtId="0" fontId="28" fillId="6" borderId="26" applyAlignment="1" pivotButton="0" quotePrefix="0" xfId="0">
      <alignment horizontal="center" vertical="center" wrapText="1"/>
    </xf>
    <xf numFmtId="0" fontId="29" fillId="6" borderId="23" applyAlignment="1" pivotButton="0" quotePrefix="0" xfId="0">
      <alignment vertical="center" wrapText="1"/>
    </xf>
    <xf numFmtId="3" fontId="30" fillId="0" borderId="0" applyAlignment="1" pivotButton="0" quotePrefix="0" xfId="0">
      <alignment vertical="center" wrapText="1"/>
    </xf>
    <xf numFmtId="3" fontId="29" fillId="0" borderId="0" applyAlignment="1" pivotButton="0" quotePrefix="0" xfId="0">
      <alignment vertical="center" wrapText="1"/>
    </xf>
    <xf numFmtId="0" fontId="29" fillId="6" borderId="24" applyAlignment="1" pivotButton="0" quotePrefix="0" xfId="0">
      <alignment vertical="center" wrapText="1"/>
    </xf>
    <xf numFmtId="0" fontId="29" fillId="0" borderId="27" applyAlignment="1" pivotButton="0" quotePrefix="0" xfId="0">
      <alignment vertical="center" wrapText="1"/>
    </xf>
    <xf numFmtId="3" fontId="30" fillId="0" borderId="27" applyAlignment="1" pivotButton="0" quotePrefix="0" xfId="0">
      <alignment vertical="center" wrapText="1"/>
    </xf>
    <xf numFmtId="0" fontId="3" fillId="6" borderId="28" pivotButton="0" quotePrefix="0" xfId="0"/>
    <xf numFmtId="0" fontId="3" fillId="6" borderId="22" pivotButton="0" quotePrefix="0" xfId="0"/>
    <xf numFmtId="0" fontId="3" fillId="0" borderId="29" pivotButton="0" quotePrefix="0" xfId="0"/>
    <xf numFmtId="3" fontId="3" fillId="0" borderId="17" pivotButton="0" quotePrefix="0" xfId="0"/>
    <xf numFmtId="3" fontId="31" fillId="0" borderId="17" pivotButton="0" quotePrefix="0" xfId="0"/>
    <xf numFmtId="0" fontId="3" fillId="5" borderId="25" pivotButton="0" quotePrefix="0" xfId="0"/>
    <xf numFmtId="3" fontId="3" fillId="5" borderId="26" pivotButton="0" quotePrefix="0" xfId="0"/>
    <xf numFmtId="0" fontId="3" fillId="5" borderId="30" pivotButton="0" quotePrefix="0" xfId="0"/>
    <xf numFmtId="0" fontId="3" fillId="5" borderId="27" pivotButton="0" quotePrefix="0" xfId="0"/>
    <xf numFmtId="0" fontId="3" fillId="5" borderId="19" pivotButton="0" quotePrefix="0" xfId="0"/>
    <xf numFmtId="0" fontId="3" fillId="6" borderId="16" pivotButton="0" quotePrefix="0" xfId="0"/>
    <xf numFmtId="0" fontId="3" fillId="0" borderId="16" applyAlignment="1" pivotButton="0" quotePrefix="0" xfId="0">
      <alignment vertical="center"/>
    </xf>
    <xf numFmtId="0" fontId="24" fillId="0" borderId="16" applyAlignment="1" pivotButton="0" quotePrefix="0" xfId="0">
      <alignment horizontal="right" vertical="center"/>
    </xf>
    <xf numFmtId="0" fontId="24" fillId="0" borderId="19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top"/>
    </xf>
    <xf numFmtId="0" fontId="24" fillId="0" borderId="0" applyAlignment="1" pivotButton="0" quotePrefix="0" xfId="0">
      <alignment horizontal="center"/>
    </xf>
    <xf numFmtId="3" fontId="24" fillId="0" borderId="0" pivotButton="0" quotePrefix="0" xfId="0"/>
    <xf numFmtId="3" fontId="3" fillId="0" borderId="0" pivotButton="0" quotePrefix="0" xfId="0"/>
    <xf numFmtId="164" fontId="24" fillId="0" borderId="0" pivotButton="0" quotePrefix="0" xfId="0"/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3" fontId="5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0" fontId="4" fillId="0" borderId="9" applyAlignment="1" pivotButton="0" quotePrefix="0" xfId="0">
      <alignment horizontal="center" vertical="center"/>
    </xf>
    <xf numFmtId="3" fontId="5" fillId="0" borderId="1" pivotButton="0" quotePrefix="0" xfId="0"/>
    <xf numFmtId="0" fontId="5" fillId="2" borderId="1" pivotButton="0" quotePrefix="0" xfId="0"/>
    <xf numFmtId="0" fontId="12" fillId="0" borderId="2" applyAlignment="1" pivotButton="0" quotePrefix="0" xfId="0">
      <alignment horizontal="center" vertical="center"/>
    </xf>
    <xf numFmtId="0" fontId="6" fillId="0" borderId="3" pivotButton="0" quotePrefix="0" xfId="0"/>
    <xf numFmtId="0" fontId="4" fillId="3" borderId="4" applyAlignment="1" pivotButton="0" quotePrefix="0" xfId="0">
      <alignment horizontal="center" vertical="center"/>
    </xf>
    <xf numFmtId="0" fontId="6" fillId="0" borderId="5" pivotButton="0" quotePrefix="0" xfId="0"/>
    <xf numFmtId="0" fontId="6" fillId="0" borderId="6" pivotButton="0" quotePrefix="0" xfId="0"/>
    <xf numFmtId="0" fontId="4" fillId="0" borderId="2" applyAlignment="1" pivotButton="0" quotePrefix="0" xfId="0">
      <alignment horizontal="center" vertical="center"/>
    </xf>
    <xf numFmtId="0" fontId="6" fillId="0" borderId="10" pivotButton="0" quotePrefix="0" xfId="0"/>
    <xf numFmtId="0" fontId="4" fillId="0" borderId="7" applyAlignment="1" pivotButton="0" quotePrefix="0" xfId="0">
      <alignment horizontal="center" vertical="center"/>
    </xf>
    <xf numFmtId="0" fontId="6" fillId="0" borderId="8" pivotButton="0" quotePrefix="0" xfId="0"/>
    <xf numFmtId="0" fontId="6" fillId="0" borderId="9" pivotButton="0" quotePrefix="0" xfId="0"/>
    <xf numFmtId="0" fontId="13" fillId="2" borderId="7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6" fillId="0" borderId="13" pivotButton="0" quotePrefix="0" xfId="0"/>
    <xf numFmtId="0" fontId="6" fillId="0" borderId="4" pivotButton="0" quotePrefix="0" xfId="0"/>
    <xf numFmtId="0" fontId="13" fillId="5" borderId="1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7" borderId="11" applyAlignment="1" pivotButton="0" quotePrefix="0" xfId="0">
      <alignment horizontal="center" vertical="center"/>
    </xf>
    <xf numFmtId="0" fontId="6" fillId="0" borderId="12" pivotButton="0" quotePrefix="0" xfId="0"/>
    <xf numFmtId="0" fontId="6" fillId="0" borderId="14" pivotButton="0" quotePrefix="0" xfId="0"/>
    <xf numFmtId="0" fontId="6" fillId="0" borderId="15" pivotButton="0" quotePrefix="0" xfId="0"/>
    <xf numFmtId="0" fontId="5" fillId="0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4" fillId="0" borderId="0" pivotButton="0" quotePrefix="0" xfId="0"/>
    <xf numFmtId="0" fontId="18" fillId="0" borderId="0" pivotButton="0" quotePrefix="0" xfId="0"/>
    <xf numFmtId="0" fontId="17" fillId="0" borderId="0" applyAlignment="1" pivotButton="0" quotePrefix="0" xfId="0">
      <alignment horizontal="left"/>
    </xf>
    <xf numFmtId="0" fontId="22" fillId="0" borderId="0" pivotButton="0" quotePrefix="0" xfId="0"/>
    <xf numFmtId="0" fontId="17" fillId="0" borderId="0" pivotButton="0" quotePrefix="0" xfId="0"/>
    <xf numFmtId="0" fontId="28" fillId="6" borderId="20" applyAlignment="1" pivotButton="0" quotePrefix="0" xfId="0">
      <alignment horizontal="center" vertical="center" wrapText="1"/>
    </xf>
    <xf numFmtId="0" fontId="6" fillId="0" borderId="23" pivotButton="0" quotePrefix="0" xfId="0"/>
    <xf numFmtId="0" fontId="6" fillId="0" borderId="24" pivotButton="0" quotePrefix="0" xfId="0"/>
    <xf numFmtId="0" fontId="28" fillId="6" borderId="21" applyAlignment="1" pivotButton="0" quotePrefix="0" xfId="0">
      <alignment vertical="center" wrapText="1"/>
    </xf>
    <xf numFmtId="0" fontId="6" fillId="0" borderId="21" pivotButton="0" quotePrefix="0" xfId="0"/>
    <xf numFmtId="0" fontId="6" fillId="0" borderId="22" pivotButton="0" quotePrefix="0" xfId="0"/>
    <xf numFmtId="0" fontId="29" fillId="0" borderId="0" applyAlignment="1" pivotButton="0" quotePrefix="0" xfId="0">
      <alignment vertical="center" wrapText="1"/>
    </xf>
    <xf numFmtId="0" fontId="6" fillId="0" borderId="17" pivotButton="0" quotePrefix="0" xfId="0"/>
    <xf numFmtId="0" fontId="3" fillId="6" borderId="25" pivotButton="0" quotePrefix="0" xfId="0"/>
    <xf numFmtId="0" fontId="6" fillId="0" borderId="18" pivotButton="0" quotePrefix="0" xfId="0"/>
    <xf numFmtId="0" fontId="6" fillId="0" borderId="26" pivotButton="0" quotePrefix="0" xfId="0"/>
    <xf numFmtId="0" fontId="3" fillId="0" borderId="25" applyAlignment="1" pivotButton="0" quotePrefix="0" xfId="0">
      <alignment vertical="center"/>
    </xf>
    <xf numFmtId="0" fontId="6" fillId="0" borderId="27" pivotButton="0" quotePrefix="0" xfId="0"/>
    <xf numFmtId="3" fontId="29" fillId="0" borderId="0" applyAlignment="1" pivotButton="0" quotePrefix="0" xfId="0">
      <alignment vertical="center" wrapText="1"/>
    </xf>
    <xf numFmtId="0" fontId="29" fillId="0" borderId="17" applyAlignment="1" pivotButton="0" quotePrefix="0" xfId="0">
      <alignment vertical="center" wrapText="1"/>
    </xf>
    <xf numFmtId="0" fontId="6" fillId="0" borderId="19" pivotButton="0" quotePrefix="0" xfId="0"/>
    <xf numFmtId="0" fontId="3" fillId="6" borderId="28" pivotButton="0" quotePrefix="0" xfId="0"/>
    <xf numFmtId="0" fontId="3" fillId="0" borderId="29" pivotButton="0" quotePrefix="0" xfId="0"/>
    <xf numFmtId="0" fontId="31" fillId="0" borderId="29" pivotButton="0" quotePrefix="0" xfId="0"/>
    <xf numFmtId="0" fontId="3" fillId="5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3" fontId="5" fillId="9" borderId="7" applyAlignment="1" pivotButton="0" quotePrefix="0" xfId="0">
      <alignment horizontal="right"/>
    </xf>
    <xf numFmtId="0" fontId="0" fillId="0" borderId="3" pivotButton="0" quotePrefix="0" xfId="0"/>
    <xf numFmtId="0" fontId="4" fillId="3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4" borderId="1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3" fillId="5" borderId="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4" pivotButton="0" quotePrefix="0" xfId="0"/>
    <xf numFmtId="0" fontId="13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164" fontId="5" fillId="0" borderId="1" applyAlignment="1" pivotButton="0" quotePrefix="0" xfId="0">
      <alignment horizontal="right" vertical="center"/>
    </xf>
    <xf numFmtId="164" fontId="14" fillId="0" borderId="16" applyAlignment="1" pivotButton="0" quotePrefix="0" xfId="0">
      <alignment horizontal="right"/>
    </xf>
    <xf numFmtId="164" fontId="17" fillId="0" borderId="16" applyAlignment="1" pivotButton="0" quotePrefix="0" xfId="0">
      <alignment horizontal="right"/>
    </xf>
    <xf numFmtId="164" fontId="14" fillId="5" borderId="16" applyAlignment="1" pivotButton="0" quotePrefix="0" xfId="0">
      <alignment horizontal="right"/>
    </xf>
    <xf numFmtId="0" fontId="28" fillId="6" borderId="16" applyAlignment="1" pivotButton="0" quotePrefix="0" xfId="0">
      <alignment horizontal="center" vertical="center" wrapText="1"/>
    </xf>
    <xf numFmtId="0" fontId="0" fillId="0" borderId="21" pivotButton="0" quotePrefix="0" xfId="0"/>
    <xf numFmtId="0" fontId="28" fillId="6" borderId="22" applyAlignment="1" pivotButton="0" quotePrefix="0" xfId="0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24" pivotButton="0" quotePrefix="0" xfId="0"/>
    <xf numFmtId="3" fontId="29" fillId="0" borderId="27" applyAlignment="1" pivotButton="0" quotePrefix="0" xfId="0">
      <alignment vertical="center" wrapText="1"/>
    </xf>
    <xf numFmtId="0" fontId="29" fillId="0" borderId="19" applyAlignment="1" pivotButton="0" quotePrefix="0" xfId="0">
      <alignment vertical="center" wrapText="1"/>
    </xf>
    <xf numFmtId="0" fontId="0" fillId="0" borderId="27" pivotButton="0" quotePrefix="0" xfId="0"/>
    <xf numFmtId="0" fontId="0" fillId="0" borderId="19" pivotButton="0" quotePrefix="0" xfId="0"/>
    <xf numFmtId="0" fontId="3" fillId="6" borderId="20" pivotButton="0" quotePrefix="0" xfId="0"/>
    <xf numFmtId="0" fontId="3" fillId="0" borderId="23" pivotButton="0" quotePrefix="0" xfId="0"/>
    <xf numFmtId="0" fontId="31" fillId="0" borderId="23" pivotButton="0" quotePrefix="0" xfId="0"/>
    <xf numFmtId="0" fontId="0" fillId="0" borderId="18" pivotButton="0" quotePrefix="0" xfId="0"/>
    <xf numFmtId="0" fontId="0" fillId="0" borderId="26" pivotButton="0" quotePrefix="0" xfId="0"/>
    <xf numFmtId="164" fontId="24" fillId="0" borderId="0" pivotButton="0" quotePrefix="0" xfId="0"/>
    <xf numFmtId="3" fontId="5" fillId="9" borderId="1" applyAlignment="1" pivotButton="0" quotePrefix="0" xfId="0">
      <alignment horizontal="right"/>
    </xf>
  </cellXfs>
  <cellStyles count="1">
    <cellStyle name="표준" xfId="0" builtinId="0"/>
  </cellStyles>
  <dxfs count="3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1" defaultTableStyle="TableStyleMedium9" defaultPivotStyle="PivotStyleLight16">
    <tableStyle name="26.01-style" pivot="0" count="4">
      <tableStyleElement type="wholeTable" size="0" dxfId="34"/>
      <tableStyleElement type="headerRow" dxfId="37"/>
      <tableStyleElement type="firstRowStripe" dxfId="36"/>
      <tableStyleElement type="secondRowStripe" dxfId="35"/>
    </tableStyle>
    <tableStyle name="26.01-style 2" pivot="0" count="2">
      <tableStyleElement type="firstRowStripe" dxfId="33"/>
      <tableStyleElement type="secondRowStripe" dxfId="32"/>
    </tableStyle>
    <tableStyle name="25.0809-style" pivot="0" count="4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25.10-style" pivot="0" count="4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25.11-style" pivot="0" count="4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25.11-style 2" pivot="0" count="2">
      <tableStyleElement type="firstRowStripe" dxfId="19"/>
      <tableStyleElement type="secondRowStripe" dxfId="18"/>
    </tableStyle>
    <tableStyle name="25.12-style" pivot="0" count="4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25.12-style 2" pivot="0" count="2">
      <tableStyleElement type="firstRowStripe" dxfId="13"/>
      <tableStyleElement type="secondRowStripe" dxfId="12"/>
    </tableStyle>
    <tableStyle name="(점검본)25.0809-style" pivot="0" count="4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(CH 재조정)25.0809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(CH 재조정)25.0809-style 2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A2026_01" displayName="A2026_01" ref="B4:H11" headerRowCount="1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  <tableStyleInfo name="26.01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C28:C29" headerRowCount="0">
  <tableColumns count="1">
    <tableColumn id="1" name="Column1"/>
  </tableColumns>
  <tableStyleInfo name="26.01-style 2" showFirstColumn="1" showLastColumn="1" showRowStripes="1" showColumnStripes="0"/>
</table>
</file>

<file path=xl/tables/table3.xml><?xml version="1.0" encoding="utf-8"?>
<table xmlns="http://schemas.openxmlformats.org/spreadsheetml/2006/main" id="3" name="A안_2" displayName="A안_2" ref="B4:H13" headerRowCount="1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  <tableStyleInfo name="25.0809-style" showFirstColumn="1" showLastColumn="1" showRowStripes="1" showColumnStripes="0"/>
</table>
</file>

<file path=xl/tables/table4.xml><?xml version="1.0" encoding="utf-8"?>
<table xmlns="http://schemas.openxmlformats.org/spreadsheetml/2006/main" id="4" name="A안_3" displayName="A안_3" ref="B4:H11" headerRowCount="1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  <tableStyleInfo name="25.10-style" showFirstColumn="1" showLastColumn="1" showRowStripes="1" showColumnStripes="0"/>
</table>
</file>

<file path=xl/tables/table5.xml><?xml version="1.0" encoding="utf-8"?>
<table xmlns="http://schemas.openxmlformats.org/spreadsheetml/2006/main" id="5" name="A안_4" displayName="A안_4" ref="B4:H11" headerRowCount="1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  <tableStyleInfo name="25.11-style" showFirstColumn="1" showLastColumn="1" showRowStripes="1" showColumnStripes="0"/>
</table>
</file>

<file path=xl/tables/table6.xml><?xml version="1.0" encoding="utf-8"?>
<table xmlns="http://schemas.openxmlformats.org/spreadsheetml/2006/main" id="6" name="Table_2" displayName="Table_2" ref="C28:C29" headerRowCount="0">
  <tableColumns count="1">
    <tableColumn id="1" name="Column1"/>
  </tableColumns>
  <tableStyleInfo name="25.11-style 2" showFirstColumn="1" showLastColumn="1" showRowStripes="1" showColumnStripes="0"/>
</table>
</file>

<file path=xl/tables/table7.xml><?xml version="1.0" encoding="utf-8"?>
<table xmlns="http://schemas.openxmlformats.org/spreadsheetml/2006/main" id="7" name="A안_5" displayName="A안_5" ref="B4:H11" headerRowCount="1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  <tableStyleInfo name="25.12-style" showFirstColumn="1" showLastColumn="1" showRowStripes="1" showColumnStripes="0"/>
</table>
</file>

<file path=xl/tables/table8.xml><?xml version="1.0" encoding="utf-8"?>
<table xmlns="http://schemas.openxmlformats.org/spreadsheetml/2006/main" id="8" name="Table_3" displayName="Table_3" ref="C28:C29" headerRowCount="0">
  <tableColumns count="1">
    <tableColumn id="1" name="Column1"/>
  </tableColumns>
  <tableStyleInfo name="25.12-style 2" showFirstColumn="1" showLastColumn="1" showRowStripes="1" showColumnStripes="0"/>
</table>
</file>

<file path=xl/tables/table9.xml><?xml version="1.0" encoding="utf-8"?>
<table xmlns="http://schemas.openxmlformats.org/spreadsheetml/2006/main" id="9" name="비용청구분__2" displayName="비용청구분__2" ref="B4:H12" headerRowCount="1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  <tableStyleInfo name="(점검본)25.0809-style" showFirstColumn="1" showLastColumn="1" showRowStripes="1" showColumnStripes="0"/>
</table>
</file>

<file path=xl/tables/table10.xml><?xml version="1.0" encoding="utf-8"?>
<table xmlns="http://schemas.openxmlformats.org/spreadsheetml/2006/main" id="10" name="A안" displayName="A안" ref="B4:H13" headerRowCount="1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  <tableStyleInfo name="(CH 재조정)25.0809-style" showFirstColumn="1" showLastColumn="1" showRowStripes="1" showColumnStripes="0"/>
</table>
</file>

<file path=xl/tables/table11.xml><?xml version="1.0" encoding="utf-8"?>
<table xmlns="http://schemas.openxmlformats.org/spreadsheetml/2006/main" id="11" name="B안" displayName="B안" ref="B21:H29" headerRowCount="1">
  <tableColumns count="7">
    <tableColumn id="1" name="구분"/>
    <tableColumn id="2" name="항목"/>
    <tableColumn id="3" name="단가"/>
    <tableColumn id="4" name="수량"/>
    <tableColumn id="5" name="-"/>
    <tableColumn id="6" name="합계 (₩)"/>
    <tableColumn id="7" name="비고"/>
  </tableColumns>
  <tableStyleInfo name="(CH 재조정)25.0809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otion.so/yollsugi/30002b0e30a981f689d1cf98d915f97a?source=copy_link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/Relationships>
</file>

<file path=xl/worksheets/sheet1.xml><?xml version="1.0" encoding="utf-8"?>
<worksheet xmlns="http://schemas.openxmlformats.org/spreadsheetml/2006/main">
  <sheetPr>
    <tabColor rgb="FF0000FF"/>
    <outlinePr summaryBelow="0" summaryRight="0"/>
    <pageSetUpPr/>
  </sheetPr>
  <dimension ref="A2:AD45"/>
  <sheetViews>
    <sheetView topLeftCell="A5" workbookViewId="0">
      <selection activeCell="C22" sqref="C22:I22"/>
    </sheetView>
  </sheetViews>
  <sheetFormatPr baseColWidth="10" defaultColWidth="12.6640625" defaultRowHeight="15.75" customHeight="1"/>
  <cols>
    <col width="3.6640625" customWidth="1" style="173" min="1" max="1"/>
    <col width="8.6640625" customWidth="1" style="173" min="2" max="2"/>
    <col width="18.1640625" customWidth="1" style="173" min="3" max="3"/>
    <col width="26.6640625" customWidth="1" style="173" min="4" max="4"/>
    <col width="7" customWidth="1" style="173" min="5" max="8"/>
    <col width="15.1640625" customWidth="1" style="173" min="9" max="10"/>
    <col width="62" customWidth="1" style="173" min="11" max="11"/>
  </cols>
  <sheetData>
    <row r="2">
      <c r="B2" s="1" t="inlineStr">
        <is>
          <t>■ 26년도 운영예산안 _ (보고 : 20251218)</t>
        </is>
      </c>
    </row>
    <row r="4" ht="15.75" customHeight="1" s="173">
      <c r="B4" s="3" t="inlineStr">
        <is>
          <t>구분</t>
        </is>
      </c>
      <c r="C4" s="3" t="inlineStr">
        <is>
          <t>콘텐츠</t>
        </is>
      </c>
      <c r="D4" s="3" t="inlineStr">
        <is>
          <t>상세</t>
        </is>
      </c>
      <c r="E4" s="3" t="inlineStr">
        <is>
          <t>수량</t>
        </is>
      </c>
      <c r="F4" s="3" t="inlineStr">
        <is>
          <t>단위</t>
        </is>
      </c>
      <c r="G4" s="3" t="inlineStr">
        <is>
          <t>횟수</t>
        </is>
      </c>
      <c r="H4" s="3" t="inlineStr">
        <is>
          <t>단위</t>
        </is>
      </c>
      <c r="I4" s="3" t="inlineStr">
        <is>
          <t>단가</t>
        </is>
      </c>
      <c r="J4" s="3" t="inlineStr">
        <is>
          <t>금액</t>
        </is>
      </c>
      <c r="K4" s="3" t="inlineStr">
        <is>
          <t>비고</t>
        </is>
      </c>
    </row>
    <row r="5" ht="15.75" customHeight="1" s="173">
      <c r="B5" s="172" t="inlineStr">
        <is>
          <t>최초 
1회 청구</t>
        </is>
      </c>
      <c r="C5" s="160" t="inlineStr">
        <is>
          <t>1월 사전세팅</t>
        </is>
      </c>
      <c r="D5" s="5" t="inlineStr">
        <is>
          <t>사전기획비</t>
        </is>
      </c>
      <c r="E5" s="20" t="n">
        <v>1</v>
      </c>
      <c r="F5" s="20" t="inlineStr">
        <is>
          <t>Series</t>
        </is>
      </c>
      <c r="G5" s="20" t="n">
        <v>1</v>
      </c>
      <c r="H5" s="20" t="inlineStr">
        <is>
          <t>회</t>
        </is>
      </c>
      <c r="I5" s="33" t="n">
        <v>200000</v>
      </c>
      <c r="J5" s="33">
        <f>E5*G5*I5</f>
        <v/>
      </c>
      <c r="K5" s="9" t="inlineStr"/>
    </row>
    <row r="6" ht="15.75" customHeight="1" s="173">
      <c r="C6" s="209" t="n"/>
      <c r="D6" s="5" t="inlineStr">
        <is>
          <t>디자인 제작비</t>
        </is>
      </c>
      <c r="E6" s="20" t="n">
        <v>1</v>
      </c>
      <c r="F6" s="20" t="inlineStr">
        <is>
          <t>Series</t>
        </is>
      </c>
      <c r="G6" s="20" t="n">
        <v>3</v>
      </c>
      <c r="H6" s="20" t="inlineStr">
        <is>
          <t>건</t>
        </is>
      </c>
      <c r="I6" s="33" t="n">
        <v>600000</v>
      </c>
      <c r="J6" s="33">
        <f>E6*G6*I6</f>
        <v/>
      </c>
      <c r="K6" s="10" t="inlineStr">
        <is>
          <t>*1월 사전세팅 단계에서, 최초 1회만 청구</t>
        </is>
      </c>
    </row>
    <row r="7">
      <c r="B7" s="210" t="inlineStr">
        <is>
          <t>SUM</t>
        </is>
      </c>
      <c r="C7" s="211" t="n"/>
      <c r="D7" s="211" t="n"/>
      <c r="E7" s="211" t="n"/>
      <c r="F7" s="211" t="n"/>
      <c r="G7" s="211" t="n"/>
      <c r="H7" s="211" t="n"/>
      <c r="I7" s="212" t="n"/>
      <c r="J7" s="11">
        <f>SUM(J5:J6)</f>
        <v/>
      </c>
      <c r="K7" s="12" t="n"/>
    </row>
    <row r="9">
      <c r="B9" s="213" t="inlineStr">
        <is>
          <t>정기 콘텐츠 / 월 기준</t>
        </is>
      </c>
      <c r="C9" s="214" t="n"/>
      <c r="D9" s="214" t="n"/>
      <c r="E9" s="214" t="n"/>
      <c r="F9" s="214" t="n"/>
      <c r="G9" s="214" t="n"/>
      <c r="H9" s="214" t="n"/>
      <c r="I9" s="215" t="n"/>
      <c r="J9" s="14" t="n"/>
      <c r="K9" s="14" t="n"/>
    </row>
    <row r="10" ht="15.75" customHeight="1" s="173">
      <c r="B10" s="15" t="inlineStr">
        <is>
          <t>-. 비정기 콘텐츠의 경우, 월 1건을 기본으로 비용 산정
-. 해당 월 미진행시 제작수량 이월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</row>
    <row r="11" ht="15.75" customHeight="1" s="173">
      <c r="B11" s="3" t="inlineStr">
        <is>
          <t>구분</t>
        </is>
      </c>
      <c r="C11" s="3" t="inlineStr">
        <is>
          <t>콘텐츠</t>
        </is>
      </c>
      <c r="D11" s="3" t="inlineStr">
        <is>
          <t>상세</t>
        </is>
      </c>
      <c r="E11" s="3" t="inlineStr">
        <is>
          <t>수량</t>
        </is>
      </c>
      <c r="F11" s="3" t="inlineStr">
        <is>
          <t>단위</t>
        </is>
      </c>
      <c r="G11" s="3" t="inlineStr">
        <is>
          <t>횟수</t>
        </is>
      </c>
      <c r="H11" s="3" t="inlineStr">
        <is>
          <t>단위</t>
        </is>
      </c>
      <c r="I11" s="3" t="inlineStr">
        <is>
          <t>단가</t>
        </is>
      </c>
      <c r="J11" s="3" t="inlineStr">
        <is>
          <t>금액</t>
        </is>
      </c>
      <c r="K11" s="3" t="inlineStr">
        <is>
          <t>비고</t>
        </is>
      </c>
    </row>
    <row r="12" ht="15.75" customHeight="1" s="173">
      <c r="B12" s="42" t="inlineStr">
        <is>
          <t>정기
콘텐츠</t>
        </is>
      </c>
      <c r="C12" s="160" t="inlineStr">
        <is>
          <t>고객인터뷰형 
(*순당포착)
[구성]
캐러셀1+숏폼2</t>
        </is>
      </c>
      <c r="D12" s="5" t="inlineStr">
        <is>
          <t>기획</t>
        </is>
      </c>
      <c r="E12" s="20" t="n">
        <v>1</v>
      </c>
      <c r="F12" s="20" t="inlineStr">
        <is>
          <t>Series</t>
        </is>
      </c>
      <c r="G12" s="20" t="n">
        <v>1</v>
      </c>
      <c r="H12" s="20" t="inlineStr">
        <is>
          <t>회</t>
        </is>
      </c>
      <c r="I12" s="33" t="n">
        <v>200000</v>
      </c>
      <c r="J12" s="33">
        <f>E12*G12*I12</f>
        <v/>
      </c>
      <c r="K12" s="18" t="inlineStr">
        <is>
          <t>인물 기획, 질문지 구성</t>
        </is>
      </c>
    </row>
    <row r="13" ht="15.75" customHeight="1" s="173">
      <c r="B13" s="209" t="n"/>
      <c r="C13" s="209" t="n"/>
      <c r="D13" s="5" t="inlineStr">
        <is>
          <t>섭외/로케이션</t>
        </is>
      </c>
      <c r="E13" s="20" t="n">
        <v>1</v>
      </c>
      <c r="F13" s="20" t="inlineStr">
        <is>
          <t>Series</t>
        </is>
      </c>
      <c r="G13" s="20" t="n">
        <v>1</v>
      </c>
      <c r="H13" s="20" t="inlineStr">
        <is>
          <t>회</t>
        </is>
      </c>
      <c r="I13" s="33" t="n">
        <v>300000</v>
      </c>
      <c r="J13" s="33">
        <f>E13*G13*I13</f>
        <v/>
      </c>
      <c r="K13" s="19" t="inlineStr">
        <is>
          <t>출연자 섭외, 장소 헌팅</t>
        </is>
      </c>
    </row>
    <row r="14" ht="15.75" customHeight="1" s="173">
      <c r="B14" s="209" t="n"/>
      <c r="C14" s="209" t="n"/>
      <c r="D14" s="5" t="inlineStr">
        <is>
          <t>촬영 (화보+인터뷰)</t>
        </is>
      </c>
      <c r="E14" s="20" t="n">
        <v>1</v>
      </c>
      <c r="F14" s="20" t="inlineStr">
        <is>
          <t>Series</t>
        </is>
      </c>
      <c r="G14" s="20" t="n">
        <v>2</v>
      </c>
      <c r="H14" s="20" t="inlineStr">
        <is>
          <t>set</t>
        </is>
      </c>
      <c r="I14" s="33" t="n">
        <v>300000</v>
      </c>
      <c r="J14" s="33">
        <f>E14*G14*I14</f>
        <v/>
      </c>
      <c r="K14" s="19" t="inlineStr">
        <is>
          <t>스틸컷+영상 동시 촬영</t>
        </is>
      </c>
    </row>
    <row r="15" ht="15.75" customHeight="1" s="173">
      <c r="B15" s="209" t="n"/>
      <c r="C15" s="209" t="n"/>
      <c r="D15" s="5" t="inlineStr">
        <is>
          <t>사진보정</t>
        </is>
      </c>
      <c r="E15" s="20" t="n">
        <v>1</v>
      </c>
      <c r="F15" s="20" t="inlineStr">
        <is>
          <t>Series</t>
        </is>
      </c>
      <c r="G15" s="20" t="n">
        <v>3</v>
      </c>
      <c r="H15" s="20" t="inlineStr">
        <is>
          <t>이미지</t>
        </is>
      </c>
      <c r="I15" s="33" t="n">
        <v>100000</v>
      </c>
      <c r="J15" s="33">
        <f>E15*G15*I15</f>
        <v/>
      </c>
      <c r="K15" s="19" t="inlineStr">
        <is>
          <t>인물 당, 화보이미지 3장 (*이미지 추가 보정 시, 비용 별도 협의)</t>
        </is>
      </c>
    </row>
    <row r="16" ht="15.75" customHeight="1" s="173">
      <c r="B16" s="209" t="n"/>
      <c r="C16" s="209" t="n"/>
      <c r="D16" s="5" t="inlineStr">
        <is>
          <t>영상 편집</t>
        </is>
      </c>
      <c r="E16" s="20" t="n">
        <v>1</v>
      </c>
      <c r="F16" s="20" t="inlineStr">
        <is>
          <t>Series</t>
        </is>
      </c>
      <c r="G16" s="20" t="n">
        <v>2</v>
      </c>
      <c r="H16" s="20" t="inlineStr">
        <is>
          <t>숏폼</t>
        </is>
      </c>
      <c r="I16" s="33" t="n">
        <v>400000</v>
      </c>
      <c r="J16" s="33">
        <f>E16*G16*I16</f>
        <v/>
      </c>
      <c r="K16" s="19" t="inlineStr">
        <is>
          <t>숏폼 2건 (#1 라이프스타일 30'' / #2 인터뷰 50'')</t>
        </is>
      </c>
    </row>
    <row r="17">
      <c r="B17" s="209" t="n"/>
      <c r="C17" s="210" t="inlineStr">
        <is>
          <t>소계 ①</t>
        </is>
      </c>
      <c r="D17" s="211" t="n"/>
      <c r="E17" s="211" t="n"/>
      <c r="F17" s="211" t="n"/>
      <c r="G17" s="211" t="n"/>
      <c r="H17" s="211" t="n"/>
      <c r="I17" s="212" t="n"/>
      <c r="J17" s="11">
        <f>SUM(J12:J16)</f>
        <v/>
      </c>
      <c r="K17" s="12" t="n"/>
    </row>
    <row r="18" ht="15.75" customHeight="1" s="173">
      <c r="B18" s="209" t="n"/>
      <c r="C18" s="155" t="inlineStr">
        <is>
          <t>먹방토크형 
(*취하지아니한가)
[구성] 숏폼3</t>
        </is>
      </c>
      <c r="D18" s="5" t="inlineStr">
        <is>
          <t>기획</t>
        </is>
      </c>
      <c r="E18" s="20" t="n">
        <v>1</v>
      </c>
      <c r="F18" s="20" t="inlineStr">
        <is>
          <t>Series</t>
        </is>
      </c>
      <c r="G18" s="20" t="n">
        <v>1</v>
      </c>
      <c r="H18" s="20" t="inlineStr">
        <is>
          <t>회</t>
        </is>
      </c>
      <c r="I18" s="33" t="n">
        <v>300000</v>
      </c>
      <c r="J18" s="33">
        <f>E18*G18*I18</f>
        <v/>
      </c>
      <c r="K18" s="22" t="inlineStr">
        <is>
          <t>내용 관련 정보 스터디, 질문지 구성</t>
        </is>
      </c>
    </row>
    <row r="19">
      <c r="B19" s="209" t="n"/>
      <c r="C19" s="209" t="n"/>
      <c r="D19" s="20" t="inlineStr">
        <is>
          <t>인물 출연료</t>
        </is>
      </c>
      <c r="E19" s="20" t="n">
        <v>1</v>
      </c>
      <c r="F19" s="20" t="inlineStr">
        <is>
          <t>Series</t>
        </is>
      </c>
      <c r="G19" s="20" t="n">
        <v>2</v>
      </c>
      <c r="H19" s="20" t="inlineStr">
        <is>
          <t>인</t>
        </is>
      </c>
      <c r="I19" s="33" t="n">
        <v>300000</v>
      </c>
      <c r="J19" s="33">
        <f>E19*G19*I19</f>
        <v/>
      </c>
      <c r="K19" s="22" t="inlineStr">
        <is>
          <t>*평균가, 호스트(외국인,고정) ↔ 게스트(시리즈 별 교체)</t>
        </is>
      </c>
    </row>
    <row r="20">
      <c r="B20" s="209" t="n"/>
      <c r="C20" s="209" t="n"/>
      <c r="D20" s="20" t="inlineStr">
        <is>
          <t>촬영</t>
        </is>
      </c>
      <c r="E20" s="20" t="n">
        <v>1</v>
      </c>
      <c r="F20" s="20" t="inlineStr">
        <is>
          <t>Series</t>
        </is>
      </c>
      <c r="G20" s="20" t="n">
        <v>2</v>
      </c>
      <c r="H20" s="20" t="inlineStr">
        <is>
          <t>set</t>
        </is>
      </c>
      <c r="I20" s="33" t="n">
        <v>300000</v>
      </c>
      <c r="J20" s="33">
        <f>E20*G20*I20</f>
        <v/>
      </c>
      <c r="K20" s="22" t="n"/>
    </row>
    <row r="21">
      <c r="B21" s="209" t="n"/>
      <c r="C21" s="209" t="n"/>
      <c r="D21" s="20" t="inlineStr">
        <is>
          <t>영상 편집</t>
        </is>
      </c>
      <c r="E21" s="20" t="n">
        <v>1</v>
      </c>
      <c r="F21" s="20" t="inlineStr">
        <is>
          <t>Series</t>
        </is>
      </c>
      <c r="G21" s="20" t="n">
        <v>3</v>
      </c>
      <c r="H21" s="20" t="inlineStr">
        <is>
          <t>숏폼</t>
        </is>
      </c>
      <c r="I21" s="33" t="n">
        <v>400000</v>
      </c>
      <c r="J21" s="33">
        <f>E21*G21*I21</f>
        <v/>
      </c>
      <c r="K21" s="22" t="n"/>
    </row>
    <row r="22">
      <c r="B22" s="209" t="n"/>
      <c r="C22" s="210" t="inlineStr">
        <is>
          <t>소계 ②</t>
        </is>
      </c>
      <c r="D22" s="211" t="n"/>
      <c r="E22" s="211" t="n"/>
      <c r="F22" s="211" t="n"/>
      <c r="G22" s="211" t="n"/>
      <c r="H22" s="211" t="n"/>
      <c r="I22" s="212" t="n"/>
      <c r="J22" s="11">
        <f>SUM(J18:J21)</f>
        <v/>
      </c>
      <c r="K22" s="12" t="n"/>
    </row>
    <row r="23">
      <c r="B23" s="209" t="n"/>
      <c r="C23" s="42" t="inlineStr">
        <is>
          <t>TPO공감형
(*1막1장)
[구성] 숏폼2</t>
        </is>
      </c>
      <c r="D23" s="20" t="inlineStr">
        <is>
          <t>기획</t>
        </is>
      </c>
      <c r="E23" s="20" t="n">
        <v>1</v>
      </c>
      <c r="F23" s="20" t="inlineStr">
        <is>
          <t>Series</t>
        </is>
      </c>
      <c r="G23" s="20" t="n">
        <v>1</v>
      </c>
      <c r="H23" s="20" t="inlineStr">
        <is>
          <t>회</t>
        </is>
      </c>
      <c r="I23" s="33" t="n">
        <v>200000</v>
      </c>
      <c r="J23" s="33">
        <f>E23*G23*I23</f>
        <v/>
      </c>
      <c r="K23" s="22" t="inlineStr">
        <is>
          <t>컨셉 구성, 시놉시스 구성</t>
        </is>
      </c>
    </row>
    <row r="24">
      <c r="B24" s="209" t="n"/>
      <c r="C24" s="209" t="n"/>
      <c r="D24" s="20" t="inlineStr">
        <is>
          <t>촬영</t>
        </is>
      </c>
      <c r="E24" s="20" t="n">
        <v>1</v>
      </c>
      <c r="F24" s="20" t="inlineStr">
        <is>
          <t>Series</t>
        </is>
      </c>
      <c r="G24" s="20" t="n">
        <v>1</v>
      </c>
      <c r="H24" s="20" t="inlineStr">
        <is>
          <t>회</t>
        </is>
      </c>
      <c r="I24" s="33" t="n">
        <v>300000</v>
      </c>
      <c r="J24" s="33" t="n">
        <v>600000</v>
      </c>
      <c r="K24" s="22" t="n"/>
    </row>
    <row r="25">
      <c r="B25" s="209" t="n"/>
      <c r="C25" s="216" t="n"/>
      <c r="D25" s="20" t="inlineStr">
        <is>
          <t>영상 편집</t>
        </is>
      </c>
      <c r="E25" s="20" t="n">
        <v>1</v>
      </c>
      <c r="F25" s="20" t="inlineStr">
        <is>
          <t>Series</t>
        </is>
      </c>
      <c r="G25" s="20" t="n">
        <v>2</v>
      </c>
      <c r="H25" s="20" t="inlineStr">
        <is>
          <t>숏폼</t>
        </is>
      </c>
      <c r="I25" s="33" t="n">
        <v>400000</v>
      </c>
      <c r="J25" s="33">
        <f>E25*G25*I25</f>
        <v/>
      </c>
      <c r="K25" s="22" t="n"/>
    </row>
    <row r="26">
      <c r="B26" s="216" t="n"/>
      <c r="C26" s="210" t="inlineStr">
        <is>
          <t>소계 ③</t>
        </is>
      </c>
      <c r="D26" s="211" t="n"/>
      <c r="E26" s="211" t="n"/>
      <c r="F26" s="211" t="n"/>
      <c r="G26" s="211" t="n"/>
      <c r="H26" s="211" t="n"/>
      <c r="I26" s="212" t="n"/>
      <c r="J26" s="11">
        <f>SUM(J23:J25)</f>
        <v/>
      </c>
      <c r="K26" s="12" t="n"/>
    </row>
    <row r="27">
      <c r="B27" s="162" t="inlineStr">
        <is>
          <t>비정기
콘텐츠</t>
        </is>
      </c>
      <c r="C27" s="217" t="inlineStr">
        <is>
          <t>AI 스터디</t>
        </is>
      </c>
      <c r="D27" s="207" t="inlineStr">
        <is>
          <t>기획 / 프롬프트 지원</t>
        </is>
      </c>
      <c r="E27" s="20" t="n">
        <v>1</v>
      </c>
      <c r="F27" s="20" t="inlineStr">
        <is>
          <t>Series</t>
        </is>
      </c>
      <c r="G27" s="20" t="n">
        <v>1</v>
      </c>
      <c r="H27" s="20" t="inlineStr">
        <is>
          <t>회</t>
        </is>
      </c>
      <c r="I27" s="33" t="n">
        <v>200000</v>
      </c>
      <c r="J27" s="33">
        <f>E27*G27*I27</f>
        <v/>
      </c>
      <c r="K27" s="27" t="inlineStr">
        <is>
          <t>AI작업툴 스터디, 컨셉 기획, 프롬프트 설계</t>
        </is>
      </c>
    </row>
    <row r="28">
      <c r="B28" s="218" t="n"/>
      <c r="C28" s="211" t="n"/>
      <c r="D28" s="207" t="inlineStr">
        <is>
          <t>AI 제작 지원</t>
        </is>
      </c>
      <c r="E28" s="20" t="n">
        <v>1</v>
      </c>
      <c r="F28" s="20" t="inlineStr">
        <is>
          <t>Series</t>
        </is>
      </c>
      <c r="G28" s="20" t="n">
        <v>1</v>
      </c>
      <c r="H28" s="20" t="inlineStr">
        <is>
          <t>회</t>
        </is>
      </c>
      <c r="I28" s="33" t="n">
        <v>250000</v>
      </c>
      <c r="J28" s="33">
        <f>E28*G28*I28</f>
        <v/>
      </c>
      <c r="K28" s="27" t="inlineStr">
        <is>
          <t>이미지 Upscale 및 후보정 (*영상 10초 이상 분량, 비용 별도 협의)</t>
        </is>
      </c>
    </row>
    <row r="29">
      <c r="B29" s="218" t="n"/>
      <c r="C29" s="210" t="inlineStr">
        <is>
          <t>소계 ④</t>
        </is>
      </c>
      <c r="D29" s="211" t="n"/>
      <c r="E29" s="211" t="n"/>
      <c r="F29" s="211" t="n"/>
      <c r="G29" s="211" t="n"/>
      <c r="H29" s="211" t="n"/>
      <c r="I29" s="212" t="n"/>
      <c r="J29" s="11">
        <f>SUM(J27:J28)</f>
        <v/>
      </c>
      <c r="K29" s="12" t="n"/>
    </row>
    <row r="30">
      <c r="B30" s="218" t="n"/>
      <c r="C30" s="217" t="inlineStr">
        <is>
          <t>홍보/이벤트</t>
        </is>
      </c>
      <c r="D30" s="207" t="inlineStr">
        <is>
          <t>기획 및 소재제작</t>
        </is>
      </c>
      <c r="E30" s="20" t="n">
        <v>1</v>
      </c>
      <c r="F30" s="20" t="inlineStr">
        <is>
          <t>Series</t>
        </is>
      </c>
      <c r="G30" s="20" t="n">
        <v>1</v>
      </c>
      <c r="H30" s="20" t="inlineStr">
        <is>
          <t>회</t>
        </is>
      </c>
      <c r="I30" s="33" t="n">
        <v>200000</v>
      </c>
      <c r="J30" s="33">
        <f>E30*G30*I30</f>
        <v/>
      </c>
      <c r="K30" s="27" t="inlineStr">
        <is>
          <t>이미지 2장 기준 (*초과 분량 별도 협의)</t>
        </is>
      </c>
    </row>
    <row r="31">
      <c r="B31" s="218" t="n"/>
      <c r="C31" s="211" t="n"/>
      <c r="D31" s="207" t="inlineStr">
        <is>
          <t>이벤트 운영 지원</t>
        </is>
      </c>
      <c r="E31" s="20" t="n">
        <v>1</v>
      </c>
      <c r="F31" s="20" t="inlineStr">
        <is>
          <t>Series</t>
        </is>
      </c>
      <c r="G31" s="20" t="n">
        <v>1</v>
      </c>
      <c r="H31" s="20" t="inlineStr">
        <is>
          <t>회</t>
        </is>
      </c>
      <c r="I31" s="33" t="n">
        <v>200000</v>
      </c>
      <c r="J31" s="33">
        <f>E31*G31*I31</f>
        <v/>
      </c>
      <c r="K31" s="27" t="inlineStr">
        <is>
          <t>당첨자 선정, 경품 발송 등 업무 지원 (*경품비 별도)</t>
        </is>
      </c>
    </row>
    <row r="32">
      <c r="B32" s="219" t="n"/>
      <c r="C32" s="210" t="inlineStr">
        <is>
          <t>소계 ④</t>
        </is>
      </c>
      <c r="D32" s="211" t="n"/>
      <c r="E32" s="211" t="n"/>
      <c r="F32" s="211" t="n"/>
      <c r="G32" s="211" t="n"/>
      <c r="H32" s="211" t="n"/>
      <c r="I32" s="212" t="n"/>
      <c r="J32" s="11">
        <f>SUM(J30:J31)</f>
        <v/>
      </c>
      <c r="K32" s="12" t="n"/>
    </row>
    <row r="33" ht="15.75" customHeight="1" s="173">
      <c r="B33" s="42" t="inlineStr">
        <is>
          <t>채널 운영 및 콘텐츠 업로드 지원</t>
        </is>
      </c>
      <c r="C33" s="214" t="n"/>
      <c r="D33" s="214" t="n"/>
      <c r="E33" s="214" t="n"/>
      <c r="F33" s="214" t="n"/>
      <c r="G33" s="214" t="n"/>
      <c r="H33" s="214" t="n"/>
      <c r="I33" s="215" t="n"/>
      <c r="J33" s="26" t="n">
        <v>200000</v>
      </c>
      <c r="K33" s="27" t="n"/>
    </row>
    <row r="34">
      <c r="B34" s="220" t="inlineStr">
        <is>
          <t>최종 합계</t>
        </is>
      </c>
      <c r="C34" s="214" t="n"/>
      <c r="D34" s="214" t="n"/>
      <c r="E34" s="214" t="n"/>
      <c r="F34" s="214" t="n"/>
      <c r="G34" s="214" t="n"/>
      <c r="H34" s="214" t="n"/>
      <c r="I34" s="215" t="n"/>
      <c r="J34" s="28">
        <f>J17+J22+J26+J29+J32+J33-50000</f>
        <v/>
      </c>
      <c r="K34" s="154" t="inlineStr">
        <is>
          <t>*만 단위 절삭</t>
        </is>
      </c>
    </row>
    <row r="35" ht="15.75" customHeight="1" s="173">
      <c r="A35" s="181" t="n"/>
      <c r="B35" s="181" t="n"/>
      <c r="C35" s="181" t="n"/>
      <c r="D35" s="181" t="n"/>
      <c r="E35" s="181" t="n"/>
      <c r="F35" s="181" t="n"/>
      <c r="G35" s="181" t="n"/>
      <c r="H35" s="181" t="n"/>
      <c r="I35" s="32" t="n"/>
      <c r="J35" s="32" t="n"/>
      <c r="K35" s="181" t="n"/>
      <c r="L35" s="181" t="n"/>
      <c r="M35" s="181" t="n"/>
      <c r="N35" s="181" t="n"/>
      <c r="O35" s="181" t="n"/>
      <c r="P35" s="181" t="n"/>
      <c r="Q35" s="181" t="n"/>
      <c r="R35" s="181" t="n"/>
      <c r="S35" s="181" t="n"/>
      <c r="T35" s="181" t="n"/>
      <c r="U35" s="181" t="n"/>
      <c r="V35" s="181" t="n"/>
      <c r="W35" s="181" t="n"/>
      <c r="X35" s="181" t="n"/>
      <c r="Y35" s="181" t="n"/>
      <c r="Z35" s="181" t="n"/>
      <c r="AA35" s="181" t="n"/>
      <c r="AB35" s="181" t="n"/>
      <c r="AC35" s="181" t="n"/>
      <c r="AD35" s="181" t="n"/>
    </row>
    <row r="36">
      <c r="A36" s="181" t="n"/>
      <c r="B36" s="213" t="inlineStr">
        <is>
          <t>비정기 콘텐츠 상세 견적</t>
        </is>
      </c>
      <c r="C36" s="214" t="n"/>
      <c r="D36" s="214" t="n"/>
      <c r="E36" s="214" t="n"/>
      <c r="F36" s="214" t="n"/>
      <c r="G36" s="214" t="n"/>
      <c r="H36" s="214" t="n"/>
      <c r="I36" s="215" t="n"/>
      <c r="J36" s="14" t="n"/>
      <c r="K36" s="14" t="n"/>
      <c r="L36" s="181" t="n"/>
      <c r="M36" s="181" t="n"/>
      <c r="N36" s="181" t="n"/>
      <c r="O36" s="181" t="n"/>
      <c r="P36" s="181" t="n"/>
      <c r="Q36" s="181" t="n"/>
      <c r="R36" s="181" t="n"/>
      <c r="S36" s="181" t="n"/>
      <c r="T36" s="181" t="n"/>
      <c r="U36" s="181" t="n"/>
      <c r="V36" s="181" t="n"/>
      <c r="W36" s="181" t="n"/>
      <c r="X36" s="181" t="n"/>
      <c r="Y36" s="181" t="n"/>
      <c r="Z36" s="181" t="n"/>
      <c r="AA36" s="181" t="n"/>
      <c r="AB36" s="181" t="n"/>
      <c r="AC36" s="181" t="n"/>
      <c r="AD36" s="181" t="n"/>
    </row>
    <row r="37" ht="15.75" customHeight="1" s="173">
      <c r="B37" s="15" t="inlineStr">
        <is>
          <t xml:space="preserve">-. 비정기콘텐츠 / 초과 분에 대한 비용가이드 </t>
        </is>
      </c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  <row r="38" ht="15.75" customHeight="1" s="173">
      <c r="B38" s="42" t="inlineStr">
        <is>
          <t>비정기
콘텐츠</t>
        </is>
      </c>
      <c r="C38" s="221" t="inlineStr">
        <is>
          <t>AI 스터디</t>
        </is>
      </c>
      <c r="D38" s="5" t="inlineStr">
        <is>
          <t>기획 / 프롬프트 지원</t>
        </is>
      </c>
      <c r="E38" s="20" t="n">
        <v>1</v>
      </c>
      <c r="F38" s="20" t="inlineStr">
        <is>
          <t>Series</t>
        </is>
      </c>
      <c r="G38" s="20" t="n">
        <v>1</v>
      </c>
      <c r="H38" s="20" t="inlineStr">
        <is>
          <t>회</t>
        </is>
      </c>
      <c r="I38" s="33" t="n">
        <v>200000</v>
      </c>
      <c r="J38" s="33">
        <f>E38*G38*I38</f>
        <v/>
      </c>
      <c r="K38" s="22" t="inlineStr">
        <is>
          <t>컨셉 기획, 프롬프트 설계</t>
        </is>
      </c>
    </row>
    <row r="39" ht="15.75" customHeight="1" s="173">
      <c r="B39" s="209" t="n"/>
      <c r="C39" s="209" t="n"/>
      <c r="D39" s="5" t="inlineStr">
        <is>
          <t xml:space="preserve"> AI 제작 지원 [이미지]</t>
        </is>
      </c>
      <c r="E39" s="20" t="n">
        <v>1</v>
      </c>
      <c r="F39" s="20" t="inlineStr">
        <is>
          <t>Series</t>
        </is>
      </c>
      <c r="G39" s="20" t="n">
        <v>1</v>
      </c>
      <c r="H39" s="20" t="inlineStr">
        <is>
          <t>회</t>
        </is>
      </c>
      <c r="I39" s="33" t="n">
        <v>250000</v>
      </c>
      <c r="J39" s="33">
        <f>E39*G39*I39</f>
        <v/>
      </c>
      <c r="K39" s="22" t="inlineStr">
        <is>
          <t>이미지 Upscale, 후보정</t>
        </is>
      </c>
    </row>
    <row r="40" ht="15.75" customHeight="1" s="173">
      <c r="B40" s="209" t="n"/>
      <c r="C40" s="209" t="n"/>
      <c r="D40" s="5" t="inlineStr">
        <is>
          <t>AI 제작/편집 지원 [영상 10초↓]</t>
        </is>
      </c>
      <c r="E40" s="20" t="n">
        <v>1</v>
      </c>
      <c r="F40" s="20" t="inlineStr">
        <is>
          <t>Series</t>
        </is>
      </c>
      <c r="G40" s="20" t="n">
        <v>1</v>
      </c>
      <c r="H40" s="20" t="inlineStr">
        <is>
          <t>회</t>
        </is>
      </c>
      <c r="I40" s="33" t="n">
        <v>250000</v>
      </c>
      <c r="J40" s="33">
        <f>E40*G40*I40</f>
        <v/>
      </c>
      <c r="K40" s="22" t="inlineStr">
        <is>
          <t>영상 Upscale</t>
        </is>
      </c>
    </row>
    <row r="41" ht="15.75" customHeight="1" s="173">
      <c r="B41" s="209" t="n"/>
      <c r="C41" s="216" t="n"/>
      <c r="D41" s="5" t="inlineStr">
        <is>
          <t>AI 제작/편집 지원 [영상 10초↑]</t>
        </is>
      </c>
      <c r="E41" s="20" t="n">
        <v>1</v>
      </c>
      <c r="F41" s="20" t="inlineStr">
        <is>
          <t>Series</t>
        </is>
      </c>
      <c r="G41" s="20" t="n">
        <v>1</v>
      </c>
      <c r="H41" s="20" t="inlineStr">
        <is>
          <t>회</t>
        </is>
      </c>
      <c r="I41" s="34" t="inlineStr">
        <is>
          <t>-</t>
        </is>
      </c>
      <c r="J41" s="34" t="inlineStr">
        <is>
          <t>-</t>
        </is>
      </c>
      <c r="K41" s="35" t="inlineStr">
        <is>
          <t>*내용에 따라 별도 협의</t>
        </is>
      </c>
    </row>
    <row r="42" ht="15.75" customHeight="1" s="173">
      <c r="B42" s="209" t="n"/>
      <c r="C42" s="221" t="inlineStr">
        <is>
          <t>홍보/이벤트</t>
        </is>
      </c>
      <c r="D42" s="5" t="inlineStr">
        <is>
          <t>홍보/이벤트 기획</t>
        </is>
      </c>
      <c r="E42" s="20" t="n">
        <v>1</v>
      </c>
      <c r="F42" s="20" t="inlineStr">
        <is>
          <t>Series</t>
        </is>
      </c>
      <c r="G42" s="20" t="n">
        <v>1</v>
      </c>
      <c r="H42" s="20" t="inlineStr">
        <is>
          <t>회</t>
        </is>
      </c>
      <c r="I42" s="33" t="n">
        <v>100000</v>
      </c>
      <c r="J42" s="33">
        <f>E42*G42*I42</f>
        <v/>
      </c>
      <c r="K42" s="36" t="n"/>
    </row>
    <row r="43" ht="15.75" customHeight="1" s="173">
      <c r="B43" s="209" t="n"/>
      <c r="C43" s="209" t="n"/>
      <c r="D43" s="5" t="inlineStr">
        <is>
          <t>소재 제작 [이미지]</t>
        </is>
      </c>
      <c r="E43" s="20" t="n">
        <v>1</v>
      </c>
      <c r="F43" s="20" t="inlineStr">
        <is>
          <t>Series</t>
        </is>
      </c>
      <c r="G43" s="20" t="n">
        <v>1</v>
      </c>
      <c r="H43" s="20" t="inlineStr">
        <is>
          <t>회</t>
        </is>
      </c>
      <c r="I43" s="33" t="n">
        <v>100000</v>
      </c>
      <c r="J43" s="33">
        <f>E43*G43*I43</f>
        <v/>
      </c>
      <c r="K43" s="37" t="inlineStr">
        <is>
          <t>이미지(캐러셀) 소재제작</t>
        </is>
      </c>
    </row>
    <row r="44" ht="15.75" customHeight="1" s="173">
      <c r="B44" s="209" t="n"/>
      <c r="C44" s="209" t="n"/>
      <c r="D44" s="5" t="inlineStr">
        <is>
          <t>소재 제작 [영상]</t>
        </is>
      </c>
      <c r="E44" s="20" t="n">
        <v>1</v>
      </c>
      <c r="F44" s="20" t="inlineStr">
        <is>
          <t>Series</t>
        </is>
      </c>
      <c r="G44" s="20" t="n">
        <v>1</v>
      </c>
      <c r="H44" s="20" t="inlineStr">
        <is>
          <t>회</t>
        </is>
      </c>
      <c r="I44" s="33" t="n">
        <v>800000</v>
      </c>
      <c r="J44" s="33">
        <f>E44*G44*I44</f>
        <v/>
      </c>
      <c r="K44" s="37" t="inlineStr">
        <is>
          <t>영상(릴스)형 콘텐츠 제작</t>
        </is>
      </c>
    </row>
    <row r="45" ht="15.75" customHeight="1" s="173">
      <c r="B45" s="216" t="n"/>
      <c r="C45" s="216" t="n"/>
      <c r="D45" s="5" t="inlineStr">
        <is>
          <t>이벤트 운영 지원</t>
        </is>
      </c>
      <c r="E45" s="20" t="n">
        <v>1</v>
      </c>
      <c r="F45" s="20" t="inlineStr">
        <is>
          <t>Series</t>
        </is>
      </c>
      <c r="G45" s="20" t="n">
        <v>1</v>
      </c>
      <c r="H45" s="20" t="inlineStr">
        <is>
          <t>회</t>
        </is>
      </c>
      <c r="I45" s="33" t="n">
        <v>200000</v>
      </c>
      <c r="J45" s="33">
        <f>E45*G45*I45</f>
        <v/>
      </c>
      <c r="K45" s="27" t="inlineStr">
        <is>
          <t>당첨자 선정, 경품 발송 등 업무 지원 (*경품비 별도)</t>
        </is>
      </c>
    </row>
  </sheetData>
  <mergeCells count="22">
    <mergeCell ref="C30:C31"/>
    <mergeCell ref="B7:I7"/>
    <mergeCell ref="C17:I17"/>
    <mergeCell ref="B12:B26"/>
    <mergeCell ref="C42:C45"/>
    <mergeCell ref="C32:I32"/>
    <mergeCell ref="C23:C25"/>
    <mergeCell ref="B27:B32"/>
    <mergeCell ref="C18:C21"/>
    <mergeCell ref="C26:I26"/>
    <mergeCell ref="B34:I34"/>
    <mergeCell ref="C27:C28"/>
    <mergeCell ref="C29:I29"/>
    <mergeCell ref="B38:B45"/>
    <mergeCell ref="B5:B6"/>
    <mergeCell ref="C38:C41"/>
    <mergeCell ref="B9:I9"/>
    <mergeCell ref="C22:I22"/>
    <mergeCell ref="B33:I33"/>
    <mergeCell ref="B36:I36"/>
    <mergeCell ref="C12:C16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9CB9C"/>
    <outlinePr summaryBelow="0" summaryRight="0"/>
    <pageSetUpPr/>
  </sheetPr>
  <dimension ref="A1:AD1038"/>
  <sheetViews>
    <sheetView tabSelected="1" workbookViewId="0">
      <selection activeCell="M20" sqref="M20"/>
    </sheetView>
  </sheetViews>
  <sheetFormatPr baseColWidth="10" defaultColWidth="12.6640625" defaultRowHeight="15.75" customHeight="1"/>
  <cols>
    <col width="3.6640625" customWidth="1" style="173" min="1" max="1"/>
    <col width="8.6640625" customWidth="1" style="173" min="2" max="2"/>
    <col width="18.1640625" customWidth="1" style="173" min="3" max="3"/>
    <col width="26.6640625" customWidth="1" style="173" min="4" max="4"/>
    <col width="5.1640625" customWidth="1" style="173" min="5" max="8"/>
    <col width="14.1640625" customWidth="1" style="173" min="9" max="10"/>
    <col width="64.5" customWidth="1" style="173" min="11" max="11"/>
  </cols>
  <sheetData>
    <row r="1" ht="13" customHeight="1" s="173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</row>
    <row r="2" ht="17" customHeight="1" s="173">
      <c r="A2" s="97" t="n"/>
      <c r="B2" s="39" t="inlineStr">
        <is>
          <t>■ 26년도 운영예산 업데이트 _ (20260206)</t>
        </is>
      </c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  <c r="AC2" s="97" t="n"/>
      <c r="AD2" s="97" t="n"/>
    </row>
    <row r="3" ht="14" customHeight="1" s="173">
      <c r="A3" s="97" t="n"/>
      <c r="B3" s="180" t="inlineStr">
        <is>
          <t>현재 [(26년상반기)예산 개요 (ver.2)] / [개별 단가] / [시나리오] 3가지 시트로 목적별 구분하여 관련 작성하였으며 
참고차 노션 페이지에 각각에 대해 부가적인 설명을 포함해 문서로도 공유드렸으니 참고부탁드립니다. -- (링크)</t>
        </is>
      </c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</row>
    <row r="4" ht="13" customHeight="1" s="173">
      <c r="A4" s="97" t="n"/>
      <c r="B4" s="97" t="n"/>
      <c r="C4" s="97" t="n"/>
      <c r="D4" s="97" t="n"/>
      <c r="E4" s="97" t="n"/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  <c r="X4" s="97" t="n"/>
      <c r="Y4" s="97" t="n"/>
      <c r="Z4" s="97" t="n"/>
      <c r="AA4" s="97" t="n"/>
      <c r="AB4" s="97" t="n"/>
      <c r="AC4" s="97" t="n"/>
      <c r="AD4" s="97" t="n"/>
    </row>
    <row r="5" ht="17" customHeight="1" s="173">
      <c r="A5" s="97" t="n"/>
      <c r="B5" s="41" t="inlineStr">
        <is>
          <t>구분</t>
        </is>
      </c>
      <c r="C5" s="41" t="inlineStr">
        <is>
          <t>콘텐츠</t>
        </is>
      </c>
      <c r="D5" s="41" t="inlineStr">
        <is>
          <t>상세</t>
        </is>
      </c>
      <c r="E5" s="41" t="inlineStr">
        <is>
          <t>수량</t>
        </is>
      </c>
      <c r="F5" s="41" t="inlineStr">
        <is>
          <t>단위</t>
        </is>
      </c>
      <c r="G5" s="41" t="inlineStr">
        <is>
          <t>횟수</t>
        </is>
      </c>
      <c r="H5" s="41" t="inlineStr">
        <is>
          <t>단위</t>
        </is>
      </c>
      <c r="I5" s="41" t="inlineStr">
        <is>
          <t>단가</t>
        </is>
      </c>
      <c r="J5" s="41" t="inlineStr">
        <is>
          <t>금액</t>
        </is>
      </c>
      <c r="K5" s="41" t="inlineStr">
        <is>
          <t>비고</t>
        </is>
      </c>
      <c r="L5" s="97" t="n"/>
      <c r="M5" s="97" t="n"/>
      <c r="N5" s="97" t="n"/>
      <c r="O5" s="97" t="n"/>
      <c r="P5" s="97" t="n"/>
      <c r="Q5" s="97" t="n"/>
      <c r="R5" s="97" t="n"/>
      <c r="S5" s="97" t="n"/>
      <c r="T5" s="97" t="n"/>
      <c r="U5" s="97" t="n"/>
      <c r="V5" s="97" t="n"/>
      <c r="W5" s="97" t="n"/>
      <c r="X5" s="97" t="n"/>
      <c r="Y5" s="97" t="n"/>
      <c r="Z5" s="97" t="n"/>
      <c r="AA5" s="97" t="n"/>
      <c r="AB5" s="97" t="n"/>
      <c r="AC5" s="97" t="n"/>
      <c r="AD5" s="97" t="n"/>
    </row>
    <row r="6" ht="17" customHeight="1" s="173">
      <c r="A6" s="97" t="n"/>
      <c r="B6" s="172" t="inlineStr">
        <is>
          <t>최초 
1회 청구</t>
        </is>
      </c>
      <c r="C6" s="160" t="inlineStr">
        <is>
          <t>1월 사전세팅</t>
        </is>
      </c>
      <c r="D6" s="42" t="inlineStr">
        <is>
          <t>사전기획비</t>
        </is>
      </c>
      <c r="E6" s="62" t="n">
        <v>1</v>
      </c>
      <c r="F6" s="62" t="inlineStr">
        <is>
          <t>Series</t>
        </is>
      </c>
      <c r="G6" s="62" t="n">
        <v>1</v>
      </c>
      <c r="H6" s="62" t="inlineStr">
        <is>
          <t>회</t>
        </is>
      </c>
      <c r="I6" s="45" t="n">
        <v>200000</v>
      </c>
      <c r="J6" s="45">
        <f>E6*G6*I6</f>
        <v/>
      </c>
      <c r="K6" s="46" t="inlineStr"/>
      <c r="L6" s="97" t="n"/>
      <c r="M6" s="97" t="n"/>
      <c r="N6" s="97" t="n"/>
      <c r="O6" s="97" t="n"/>
      <c r="P6" s="97" t="n"/>
      <c r="Q6" s="97" t="n"/>
      <c r="R6" s="97" t="n"/>
      <c r="S6" s="97" t="n"/>
      <c r="T6" s="97" t="n"/>
      <c r="U6" s="97" t="n"/>
      <c r="V6" s="97" t="n"/>
      <c r="W6" s="97" t="n"/>
      <c r="X6" s="97" t="n"/>
      <c r="Y6" s="97" t="n"/>
      <c r="Z6" s="97" t="n"/>
      <c r="AA6" s="97" t="n"/>
      <c r="AB6" s="97" t="n"/>
      <c r="AC6" s="97" t="n"/>
      <c r="AD6" s="97" t="n"/>
    </row>
    <row r="7" ht="17" customHeight="1" s="173">
      <c r="A7" s="97" t="n"/>
      <c r="C7" s="209" t="n"/>
      <c r="D7" s="42" t="inlineStr">
        <is>
          <t>디자인 제작비</t>
        </is>
      </c>
      <c r="E7" s="62" t="n">
        <v>1</v>
      </c>
      <c r="F7" s="62" t="inlineStr">
        <is>
          <t>Series</t>
        </is>
      </c>
      <c r="G7" s="62" t="n">
        <v>3</v>
      </c>
      <c r="H7" s="62" t="inlineStr">
        <is>
          <t>건</t>
        </is>
      </c>
      <c r="I7" s="45" t="n">
        <v>600000</v>
      </c>
      <c r="J7" s="45">
        <f>E7*G7*I7</f>
        <v/>
      </c>
      <c r="K7" s="47" t="inlineStr">
        <is>
          <t>*1월 사전세팅 단계에서, 최초 1회만 청구</t>
        </is>
      </c>
      <c r="L7" s="97" t="n"/>
      <c r="M7" s="97" t="n"/>
      <c r="N7" s="97" t="n"/>
      <c r="O7" s="97" t="n"/>
      <c r="P7" s="97" t="n"/>
      <c r="Q7" s="97" t="n"/>
      <c r="R7" s="97" t="n"/>
      <c r="S7" s="97" t="n"/>
      <c r="T7" s="97" t="n"/>
      <c r="U7" s="97" t="n"/>
      <c r="V7" s="97" t="n"/>
      <c r="W7" s="97" t="n"/>
      <c r="X7" s="97" t="n"/>
      <c r="Y7" s="97" t="n"/>
      <c r="Z7" s="97" t="n"/>
      <c r="AA7" s="97" t="n"/>
      <c r="AB7" s="97" t="n"/>
      <c r="AC7" s="97" t="n"/>
      <c r="AD7" s="97" t="n"/>
    </row>
    <row r="8" ht="17" customHeight="1" s="173">
      <c r="A8" s="97" t="n"/>
      <c r="B8" s="210" t="inlineStr">
        <is>
          <t>SUM</t>
        </is>
      </c>
      <c r="C8" s="211" t="n"/>
      <c r="D8" s="211" t="n"/>
      <c r="E8" s="211" t="n"/>
      <c r="F8" s="211" t="n"/>
      <c r="G8" s="211" t="n"/>
      <c r="H8" s="211" t="n"/>
      <c r="I8" s="212" t="n"/>
      <c r="J8" s="48">
        <f>SUM(J6:J7)</f>
        <v/>
      </c>
      <c r="K8" s="49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</row>
    <row r="9" ht="13" customHeight="1" s="173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  <c r="P9" s="97" t="n"/>
      <c r="Q9" s="97" t="n"/>
      <c r="R9" s="97" t="n"/>
      <c r="S9" s="97" t="n"/>
      <c r="T9" s="97" t="n"/>
      <c r="U9" s="97" t="n"/>
      <c r="V9" s="97" t="n"/>
      <c r="W9" s="97" t="n"/>
      <c r="X9" s="97" t="n"/>
      <c r="Y9" s="97" t="n"/>
      <c r="Z9" s="97" t="n"/>
      <c r="AA9" s="97" t="n"/>
      <c r="AB9" s="97" t="n"/>
      <c r="AC9" s="97" t="n"/>
      <c r="AD9" s="97" t="n"/>
    </row>
    <row r="10" ht="17" customHeight="1" s="173">
      <c r="A10" s="97" t="n"/>
      <c r="B10" s="213" t="inlineStr">
        <is>
          <t>정기 콘텐츠 / 월 기준</t>
        </is>
      </c>
      <c r="C10" s="214" t="n"/>
      <c r="D10" s="214" t="n"/>
      <c r="E10" s="214" t="n"/>
      <c r="F10" s="214" t="n"/>
      <c r="G10" s="214" t="n"/>
      <c r="H10" s="214" t="n"/>
      <c r="I10" s="215" t="n"/>
      <c r="J10" s="51" t="n"/>
      <c r="K10" s="51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  <c r="AA10" s="97" t="n"/>
      <c r="AB10" s="97" t="n"/>
      <c r="AC10" s="97" t="n"/>
      <c r="AD10" s="97" t="n"/>
    </row>
    <row r="11" ht="17" customHeight="1" s="173">
      <c r="A11" s="97" t="n"/>
      <c r="B11" s="52" t="inlineStr">
        <is>
          <t>-. 비정기 콘텐츠의 경우, 월 1건을 기본으로 비용 산정 (해당 월 미진행시 제작수량 이월)
-. 순당포착/1막1장에 대한 세부 단가는 [개별 단가] 시트 참조</t>
        </is>
      </c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97" t="n"/>
      <c r="M11" s="97" t="n"/>
      <c r="N11" s="97" t="n"/>
      <c r="O11" s="97" t="n"/>
      <c r="P11" s="97" t="n"/>
      <c r="Q11" s="97" t="n"/>
      <c r="R11" s="97" t="n"/>
      <c r="S11" s="97" t="n"/>
      <c r="T11" s="97" t="n"/>
      <c r="U11" s="97" t="n"/>
      <c r="V11" s="97" t="n"/>
      <c r="W11" s="97" t="n"/>
      <c r="X11" s="97" t="n"/>
      <c r="Y11" s="97" t="n"/>
      <c r="Z11" s="97" t="n"/>
      <c r="AA11" s="97" t="n"/>
      <c r="AB11" s="97" t="n"/>
      <c r="AC11" s="97" t="n"/>
      <c r="AD11" s="97" t="n"/>
    </row>
    <row r="12" ht="17" customHeight="1" s="173">
      <c r="A12" s="97" t="n"/>
      <c r="B12" s="41" t="inlineStr">
        <is>
          <t>구분</t>
        </is>
      </c>
      <c r="C12" s="41" t="inlineStr">
        <is>
          <t>콘텐츠</t>
        </is>
      </c>
      <c r="D12" s="41" t="inlineStr">
        <is>
          <t>상세</t>
        </is>
      </c>
      <c r="E12" s="41" t="inlineStr">
        <is>
          <t>인력</t>
        </is>
      </c>
      <c r="F12" s="41" t="inlineStr">
        <is>
          <t>단위</t>
        </is>
      </c>
      <c r="G12" s="41" t="inlineStr">
        <is>
          <t>시간</t>
        </is>
      </c>
      <c r="H12" s="41" t="inlineStr">
        <is>
          <t>단위</t>
        </is>
      </c>
      <c r="I12" s="41" t="inlineStr">
        <is>
          <t>1인/1h (*고정비)</t>
        </is>
      </c>
      <c r="J12" s="41" t="inlineStr">
        <is>
          <t>금액</t>
        </is>
      </c>
      <c r="K12" s="41" t="inlineStr">
        <is>
          <t>비고</t>
        </is>
      </c>
      <c r="L12" s="97" t="n"/>
      <c r="M12" s="97" t="n"/>
      <c r="N12" s="97" t="n"/>
      <c r="O12" s="97" t="n"/>
      <c r="P12" s="97" t="n"/>
      <c r="Q12" s="97" t="n"/>
      <c r="R12" s="97" t="n"/>
      <c r="S12" s="97" t="n"/>
      <c r="T12" s="97" t="n"/>
      <c r="U12" s="97" t="n"/>
      <c r="V12" s="97" t="n"/>
      <c r="W12" s="97" t="n"/>
      <c r="X12" s="97" t="n"/>
      <c r="Y12" s="97" t="n"/>
      <c r="Z12" s="97" t="n"/>
      <c r="AA12" s="97" t="n"/>
      <c r="AB12" s="97" t="n"/>
      <c r="AC12" s="97" t="n"/>
      <c r="AD12" s="97" t="n"/>
    </row>
    <row r="13" ht="17" customHeight="1" s="173">
      <c r="A13" s="97" t="n"/>
      <c r="B13" s="42" t="inlineStr">
        <is>
          <t>정기
콘텐츠</t>
        </is>
      </c>
      <c r="C13" s="160" t="inlineStr">
        <is>
          <t>고객인터뷰형 
(*순당포착)
[구성]
캐러셀1+숏폼2</t>
        </is>
      </c>
      <c r="D13" s="42" t="inlineStr">
        <is>
          <t>인터뷰 및 해당 촬영 기획</t>
        </is>
      </c>
      <c r="E13" s="62" t="n">
        <v>1</v>
      </c>
      <c r="F13" s="62" t="inlineStr">
        <is>
          <t>명</t>
        </is>
      </c>
      <c r="G13" s="62" t="n">
        <v>4</v>
      </c>
      <c r="H13" s="62" t="inlineStr">
        <is>
          <t>h</t>
        </is>
      </c>
      <c r="I13" s="45" t="n">
        <v>50000</v>
      </c>
      <c r="J13" s="45">
        <f>E13*G13*I13</f>
        <v/>
      </c>
      <c r="K13" s="55" t="inlineStr">
        <is>
          <t>인물 기획, 질문지 구성</t>
        </is>
      </c>
      <c r="L13" s="97" t="n"/>
      <c r="M13" s="97" t="n"/>
      <c r="N13" s="97" t="n"/>
      <c r="O13" s="97" t="n"/>
      <c r="P13" s="97" t="n"/>
      <c r="Q13" s="97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  <c r="AA13" s="97" t="n"/>
      <c r="AB13" s="97" t="n"/>
      <c r="AC13" s="97" t="n"/>
      <c r="AD13" s="97" t="n"/>
    </row>
    <row r="14" ht="17" customHeight="1" s="173">
      <c r="A14" s="97" t="n"/>
      <c r="B14" s="209" t="n"/>
      <c r="C14" s="209" t="n"/>
      <c r="D14" s="42" t="inlineStr">
        <is>
          <t>답사</t>
        </is>
      </c>
      <c r="E14" s="62" t="n">
        <v>1</v>
      </c>
      <c r="F14" s="62" t="inlineStr">
        <is>
          <t>명</t>
        </is>
      </c>
      <c r="G14" s="62" t="n">
        <v>3</v>
      </c>
      <c r="H14" s="62" t="inlineStr">
        <is>
          <t>h</t>
        </is>
      </c>
      <c r="I14" s="45" t="n">
        <v>50000</v>
      </c>
      <c r="J14" s="45">
        <f>E14*G14*I14</f>
        <v/>
      </c>
      <c r="K14" s="56" t="inlineStr">
        <is>
          <t>출연자 섭외, 장소 헌팅</t>
        </is>
      </c>
      <c r="L14" s="97" t="n"/>
      <c r="M14" s="97" t="n"/>
      <c r="N14" s="97" t="n"/>
      <c r="O14" s="97" t="n"/>
      <c r="P14" s="97" t="n"/>
      <c r="Q14" s="97" t="n"/>
      <c r="R14" s="97" t="n"/>
      <c r="S14" s="97" t="n"/>
      <c r="T14" s="97" t="n"/>
      <c r="U14" s="97" t="n"/>
      <c r="V14" s="97" t="n"/>
      <c r="W14" s="97" t="n"/>
      <c r="X14" s="97" t="n"/>
      <c r="Y14" s="97" t="n"/>
      <c r="Z14" s="97" t="n"/>
      <c r="AA14" s="97" t="n"/>
      <c r="AB14" s="97" t="n"/>
      <c r="AC14" s="97" t="n"/>
      <c r="AD14" s="97" t="n"/>
    </row>
    <row r="15" ht="17" customHeight="1" s="173">
      <c r="A15" s="97" t="n"/>
      <c r="B15" s="209" t="n"/>
      <c r="C15" s="209" t="n"/>
      <c r="D15" s="42" t="inlineStr">
        <is>
          <t>촬영</t>
        </is>
      </c>
      <c r="E15" s="62" t="n">
        <v>2</v>
      </c>
      <c r="F15" s="62" t="inlineStr">
        <is>
          <t>명</t>
        </is>
      </c>
      <c r="G15" s="62" t="n">
        <v>6</v>
      </c>
      <c r="H15" s="62" t="inlineStr">
        <is>
          <t>h</t>
        </is>
      </c>
      <c r="I15" s="45" t="n">
        <v>50000</v>
      </c>
      <c r="J15" s="45">
        <f>E15*G15*I15</f>
        <v/>
      </c>
      <c r="K15" s="56" t="inlineStr">
        <is>
          <t>스틸컷+영상 동시 촬영 / 2인 투입
(영상1+사진1), 
  • 6h 정도의 시간을 최소로 요함
(준비 1h + 본촬영4h+ 인서트 1h)</t>
        </is>
      </c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n"/>
      <c r="U15" s="97" t="n"/>
      <c r="V15" s="97" t="n"/>
      <c r="W15" s="97" t="n"/>
      <c r="X15" s="97" t="n"/>
      <c r="Y15" s="97" t="n"/>
      <c r="Z15" s="97" t="n"/>
      <c r="AA15" s="97" t="n"/>
      <c r="AB15" s="97" t="n"/>
      <c r="AC15" s="97" t="n"/>
      <c r="AD15" s="97" t="n"/>
    </row>
    <row r="16" ht="17" customHeight="1" s="173">
      <c r="A16" s="97" t="n"/>
      <c r="B16" s="209" t="n"/>
      <c r="C16" s="209" t="n"/>
      <c r="D16" s="42" t="inlineStr">
        <is>
          <t>사진 보정</t>
        </is>
      </c>
      <c r="E16" s="62" t="n">
        <v>1</v>
      </c>
      <c r="F16" s="62" t="inlineStr">
        <is>
          <t>명</t>
        </is>
      </c>
      <c r="G16" s="62" t="n">
        <v>3</v>
      </c>
      <c r="H16" s="62" t="inlineStr">
        <is>
          <t>h</t>
        </is>
      </c>
      <c r="I16" s="45" t="n">
        <v>50000</v>
      </c>
      <c r="J16" s="45">
        <f>E16*G16*I16</f>
        <v/>
      </c>
      <c r="K16" s="56" t="inlineStr">
        <is>
          <t>인물 당, 화보이미지 3장 (*이미지 추가 보정 시, 비용 별도 협의) 
*기존에 추가 보정에 대한 비용 고려했으나, 
 첫 게시물 기준 이미지 장수 관계없이 보정하는 방향
※ 피드 및 포스터용 화보 사진 컷 보정</t>
        </is>
      </c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</row>
    <row r="17" ht="17" customHeight="1" s="173">
      <c r="A17" s="97" t="n"/>
      <c r="B17" s="209" t="n"/>
      <c r="C17" s="209" t="n"/>
      <c r="D17" s="42" t="inlineStr">
        <is>
          <t>캐러셀 디자인·편집</t>
        </is>
      </c>
      <c r="E17" s="62" t="n">
        <v>1</v>
      </c>
      <c r="F17" s="62" t="inlineStr">
        <is>
          <t>명</t>
        </is>
      </c>
      <c r="G17" s="62" t="n">
        <v>4</v>
      </c>
      <c r="H17" s="62" t="inlineStr">
        <is>
          <t>h</t>
        </is>
      </c>
      <c r="I17" s="45" t="n">
        <v>50000</v>
      </c>
      <c r="J17" s="45">
        <f>E17*G17*I17</f>
        <v/>
      </c>
      <c r="K17" s="56" t="inlineStr">
        <is>
          <t>인스타그램 피드 게시물 + 포스터 디자인</t>
        </is>
      </c>
      <c r="L17" s="97" t="n"/>
      <c r="M17" s="97" t="n"/>
      <c r="N17" s="97" t="n"/>
      <c r="O17" s="97" t="n"/>
      <c r="P17" s="97" t="n"/>
      <c r="Q17" s="97" t="n"/>
      <c r="R17" s="97" t="n"/>
      <c r="S17" s="97" t="n"/>
      <c r="T17" s="97" t="n"/>
      <c r="U17" s="97" t="n"/>
      <c r="V17" s="97" t="n"/>
      <c r="W17" s="97" t="n"/>
      <c r="X17" s="97" t="n"/>
      <c r="Y17" s="97" t="n"/>
      <c r="Z17" s="97" t="n"/>
      <c r="AA17" s="97" t="n"/>
      <c r="AB17" s="97" t="n"/>
      <c r="AC17" s="97" t="n"/>
      <c r="AD17" s="97" t="n"/>
    </row>
    <row r="18" ht="30" customHeight="1" s="173">
      <c r="A18" s="97" t="n"/>
      <c r="B18" s="209" t="n"/>
      <c r="C18" s="209" t="n"/>
      <c r="D18" s="42" t="inlineStr">
        <is>
          <t>영상 기획</t>
        </is>
      </c>
      <c r="E18" s="62" t="n">
        <v>3</v>
      </c>
      <c r="F18" s="62" t="inlineStr">
        <is>
          <t>명</t>
        </is>
      </c>
      <c r="G18" s="62" t="n">
        <v>2</v>
      </c>
      <c r="H18" s="62" t="inlineStr">
        <is>
          <t>h</t>
        </is>
      </c>
      <c r="I18" s="45" t="n">
        <v>50000</v>
      </c>
      <c r="J18" s="45">
        <f>E18*G18*I18</f>
        <v/>
      </c>
      <c r="K18" s="56" t="inlineStr">
        <is>
          <t>*금일 논의를 위한 맥락 (향후 삭제)
- 숏폼 기획을 3인*2h + 1인*3h로 나누어두었는데, 
앞선 [인터뷰 및 해당촬영 기획]에서는 업장에 대한 파악이 되기 전 업장 리서치, 인터뷰 기획, 답사를 다녀온 뒤 촬영에 대한 기획으로 사전 기획에 해당 
이후 [숏폼 기획]은 촬영본을 기반으로 영상을 어떻게 구성할지 + 업장 캐릭터별 톤앤매너에 대한 기획을 팀 단위로 진행한 뒤 (3인*2h) 
우석님이 세부적인 영상 기획을 진행합니다. (모든 상황을 촬영 전 컨트롤할 수 있기보다, 촬영 후 파악되는 지점이 많아 기획을 2차례로 나누어 진행하고 있으며)
 - 산출물의 개수가 조정됨에 따라 팀 단위의 영상 기획은 개수와 관련없이 고정적으로 발생하고, 우석님이 진행하는 세부 영상기획은 각각의 산출물에 귀속된다고 볼 수 있습니다.
비용적인 측면을 고려할 때, 개수에 따른 구분을 고려한다면 팀 단위의 숏폼기획을 별도로 구분한 뒤, 개별 숏폼의 기획+편집을 편집으로만 구분하는 것이 좋겠습니다</t>
        </is>
      </c>
      <c r="L18" s="97" t="n"/>
      <c r="M18" s="97" t="n"/>
      <c r="N18" s="97" t="n"/>
      <c r="O18" s="97" t="n"/>
      <c r="P18" s="97" t="n"/>
      <c r="Q18" s="97" t="n"/>
      <c r="R18" s="97" t="n"/>
      <c r="S18" s="97" t="n"/>
      <c r="T18" s="97" t="n"/>
      <c r="U18" s="97" t="n"/>
      <c r="V18" s="97" t="n"/>
      <c r="W18" s="97" t="n"/>
      <c r="X18" s="97" t="n"/>
      <c r="Y18" s="97" t="n"/>
      <c r="Z18" s="97" t="n"/>
      <c r="AA18" s="97" t="n"/>
      <c r="AB18" s="97" t="n"/>
      <c r="AC18" s="97" t="n"/>
      <c r="AD18" s="97" t="n"/>
    </row>
    <row r="19" ht="30" customHeight="1" s="173">
      <c r="A19" s="97" t="n"/>
      <c r="B19" s="209" t="n"/>
      <c r="C19" s="209" t="n"/>
      <c r="D19" s="42" t="inlineStr">
        <is>
          <t>숏폼#1 기획+편집</t>
        </is>
      </c>
      <c r="E19" s="62" t="n">
        <v>2</v>
      </c>
      <c r="F19" s="62" t="inlineStr">
        <is>
          <t>명</t>
        </is>
      </c>
      <c r="G19" s="62" t="n">
        <v>5.5</v>
      </c>
      <c r="H19" s="62" t="inlineStr">
        <is>
          <t>h</t>
        </is>
      </c>
      <c r="I19" s="45" t="n">
        <v>50000</v>
      </c>
      <c r="J19" s="45" t="n">
        <v>550000</v>
      </c>
      <c r="K19" s="56" t="inlineStr">
        <is>
          <t>숏폼 2건 (#1 라이프스타일 30'' / #2 인터뷰 50'')
 &gt; 세부 숏폼 기획 + 편집*수정편집 포함
※ 투입상세 : 1명 3h + 1명 8h</t>
        </is>
      </c>
      <c r="L19" s="97" t="n"/>
      <c r="M19" s="97" t="n"/>
      <c r="N19" s="97" t="n"/>
      <c r="O19" s="97" t="n"/>
      <c r="P19" s="97" t="n"/>
      <c r="Q19" s="97" t="n"/>
      <c r="R19" s="97" t="n"/>
      <c r="S19" s="97" t="n"/>
      <c r="T19" s="97" t="n"/>
      <c r="U19" s="97" t="n"/>
      <c r="V19" s="97" t="n"/>
      <c r="W19" s="97" t="n"/>
      <c r="X19" s="97" t="n"/>
      <c r="Y19" s="97" t="n"/>
      <c r="Z19" s="97" t="n"/>
      <c r="AA19" s="97" t="n"/>
      <c r="AB19" s="97" t="n"/>
      <c r="AC19" s="97" t="n"/>
      <c r="AD19" s="97" t="n"/>
    </row>
    <row r="20" ht="30" customHeight="1" s="173">
      <c r="A20" s="97" t="n"/>
      <c r="B20" s="209" t="n"/>
      <c r="C20" s="209" t="n"/>
      <c r="D20" s="42" t="inlineStr">
        <is>
          <t>숏폼#2 기획+편집</t>
        </is>
      </c>
      <c r="E20" s="62" t="n">
        <v>2</v>
      </c>
      <c r="F20" s="62" t="inlineStr">
        <is>
          <t>명</t>
        </is>
      </c>
      <c r="G20" s="62" t="n">
        <v>5.5</v>
      </c>
      <c r="H20" s="62" t="inlineStr">
        <is>
          <t>h</t>
        </is>
      </c>
      <c r="I20" s="45" t="n">
        <v>50000</v>
      </c>
      <c r="J20" s="45" t="n">
        <v>550000</v>
      </c>
      <c r="K20" s="216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  <c r="AA20" s="97" t="n"/>
      <c r="AB20" s="97" t="n"/>
      <c r="AC20" s="97" t="n"/>
      <c r="AD20" s="97" t="n"/>
    </row>
    <row r="21" ht="17" customHeight="1" s="173">
      <c r="A21" s="97" t="n"/>
      <c r="B21" s="209" t="n"/>
      <c r="C21" s="210" t="inlineStr">
        <is>
          <t>소계 ①</t>
        </is>
      </c>
      <c r="D21" s="211" t="n"/>
      <c r="E21" s="211" t="n"/>
      <c r="F21" s="211" t="n"/>
      <c r="G21" s="211" t="n"/>
      <c r="H21" s="211" t="n"/>
      <c r="I21" s="212" t="n"/>
      <c r="J21" s="48" t="n">
        <v>2700000</v>
      </c>
      <c r="K21" s="57" t="inlineStr">
        <is>
          <t>*현재 기준 ₩2,200,000 할인가로 제공 중 
*현재 '취하지아니한가' 미진행 관계로, '순당포착' 시리즈를 월 2세트 기본으로 진행</t>
        </is>
      </c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</row>
    <row r="22" ht="13" customHeight="1" s="173">
      <c r="A22" s="97" t="n"/>
      <c r="B22" s="209" t="n"/>
      <c r="C22" s="179" t="inlineStr">
        <is>
          <t>먹방토크형 
(*취하지아니한가)
[구성] 숏폼3</t>
        </is>
      </c>
      <c r="D22" s="222" t="inlineStr">
        <is>
          <t>현재 미진행 / 향후 진행에 따라 시리즈별 비중 재논의</t>
        </is>
      </c>
      <c r="E22" s="223" t="n"/>
      <c r="F22" s="223" t="n"/>
      <c r="G22" s="223" t="n"/>
      <c r="H22" s="223" t="n"/>
      <c r="I22" s="223" t="n"/>
      <c r="J22" s="223" t="n"/>
      <c r="K22" s="224" t="n"/>
      <c r="L22" s="97" t="n"/>
      <c r="M22" s="97" t="n"/>
      <c r="N22" s="97" t="n"/>
      <c r="O22" s="97" t="n"/>
      <c r="P22" s="97" t="n"/>
      <c r="Q22" s="97" t="n"/>
      <c r="R22" s="97" t="n"/>
      <c r="S22" s="97" t="n"/>
      <c r="T22" s="97" t="n"/>
      <c r="U22" s="97" t="n"/>
      <c r="V22" s="97" t="n"/>
      <c r="W22" s="97" t="n"/>
      <c r="X22" s="97" t="n"/>
      <c r="Y22" s="97" t="n"/>
      <c r="Z22" s="97" t="n"/>
      <c r="AA22" s="97" t="n"/>
      <c r="AB22" s="97" t="n"/>
      <c r="AC22" s="97" t="n"/>
      <c r="AD22" s="97" t="n"/>
    </row>
    <row r="23" ht="13" customHeight="1" s="173">
      <c r="A23" s="97" t="n"/>
      <c r="B23" s="209" t="n"/>
      <c r="C23" s="209" t="n"/>
      <c r="D23" s="218" t="n"/>
      <c r="K23" s="225" t="n"/>
      <c r="L23" s="97" t="n"/>
      <c r="M23" s="97" t="n"/>
      <c r="N23" s="97" t="n"/>
      <c r="O23" s="97" t="n"/>
      <c r="P23" s="97" t="n"/>
      <c r="Q23" s="97" t="n"/>
      <c r="R23" s="97" t="n"/>
      <c r="S23" s="97" t="n"/>
      <c r="T23" s="97" t="n"/>
      <c r="U23" s="97" t="n"/>
      <c r="V23" s="97" t="n"/>
      <c r="W23" s="97" t="n"/>
      <c r="X23" s="97" t="n"/>
      <c r="Y23" s="97" t="n"/>
      <c r="Z23" s="97" t="n"/>
      <c r="AA23" s="97" t="n"/>
      <c r="AB23" s="97" t="n"/>
      <c r="AC23" s="97" t="n"/>
      <c r="AD23" s="97" t="n"/>
    </row>
    <row r="24" ht="13" customHeight="1" s="173">
      <c r="A24" s="97" t="n"/>
      <c r="B24" s="209" t="n"/>
      <c r="C24" s="209" t="n"/>
      <c r="D24" s="218" t="n"/>
      <c r="K24" s="225" t="n"/>
      <c r="L24" s="97" t="n"/>
      <c r="M24" s="97" t="n"/>
      <c r="N24" s="97" t="n"/>
      <c r="O24" s="97" t="n"/>
      <c r="P24" s="97" t="n"/>
      <c r="Q24" s="97" t="n"/>
      <c r="R24" s="97" t="n"/>
      <c r="S24" s="97" t="n"/>
      <c r="T24" s="97" t="n"/>
      <c r="U24" s="97" t="n"/>
      <c r="V24" s="97" t="n"/>
      <c r="W24" s="97" t="n"/>
      <c r="X24" s="97" t="n"/>
      <c r="Y24" s="97" t="n"/>
      <c r="Z24" s="97" t="n"/>
      <c r="AA24" s="97" t="n"/>
      <c r="AB24" s="97" t="n"/>
      <c r="AC24" s="97" t="n"/>
      <c r="AD24" s="97" t="n"/>
    </row>
    <row r="25" ht="13" customHeight="1" s="173">
      <c r="A25" s="97" t="n"/>
      <c r="B25" s="209" t="n"/>
      <c r="C25" s="209" t="n"/>
      <c r="D25" s="218" t="n"/>
      <c r="K25" s="225" t="n"/>
      <c r="L25" s="97" t="n"/>
      <c r="M25" s="97" t="n"/>
      <c r="N25" s="97" t="n"/>
      <c r="O25" s="97" t="n"/>
      <c r="P25" s="97" t="n"/>
      <c r="Q25" s="97" t="n"/>
      <c r="R25" s="97" t="n"/>
      <c r="S25" s="97" t="n"/>
      <c r="T25" s="97" t="n"/>
      <c r="U25" s="97" t="n"/>
      <c r="V25" s="97" t="n"/>
      <c r="W25" s="97" t="n"/>
      <c r="X25" s="97" t="n"/>
      <c r="Y25" s="97" t="n"/>
      <c r="Z25" s="97" t="n"/>
      <c r="AA25" s="97" t="n"/>
      <c r="AB25" s="97" t="n"/>
      <c r="AC25" s="97" t="n"/>
      <c r="AD25" s="97" t="n"/>
    </row>
    <row r="26" ht="17" customHeight="1" s="173">
      <c r="A26" s="97" t="n"/>
      <c r="B26" s="209" t="n"/>
      <c r="C26" s="58" t="inlineStr">
        <is>
          <t>소계 ②</t>
        </is>
      </c>
      <c r="D26" s="219" t="n"/>
      <c r="E26" s="211" t="n"/>
      <c r="F26" s="211" t="n"/>
      <c r="G26" s="211" t="n"/>
      <c r="H26" s="211" t="n"/>
      <c r="I26" s="211" t="n"/>
      <c r="J26" s="211" t="n"/>
      <c r="K26" s="212" t="n"/>
      <c r="L26" s="97" t="n"/>
      <c r="M26" s="97" t="n"/>
      <c r="N26" s="97" t="n"/>
      <c r="O26" s="97" t="n"/>
      <c r="P26" s="97" t="n"/>
      <c r="Q26" s="97" t="n"/>
      <c r="R26" s="97" t="n"/>
      <c r="S26" s="97" t="n"/>
      <c r="T26" s="97" t="n"/>
      <c r="U26" s="97" t="n"/>
      <c r="V26" s="97" t="n"/>
      <c r="W26" s="97" t="n"/>
      <c r="X26" s="97" t="n"/>
      <c r="Y26" s="97" t="n"/>
      <c r="Z26" s="97" t="n"/>
      <c r="AA26" s="97" t="n"/>
      <c r="AB26" s="97" t="n"/>
      <c r="AC26" s="97" t="n"/>
      <c r="AD26" s="97" t="n"/>
    </row>
    <row r="27" ht="17" customHeight="1" s="173">
      <c r="A27" s="97" t="n"/>
      <c r="B27" s="209" t="n"/>
      <c r="C27" s="160" t="inlineStr">
        <is>
          <t>TPO공감형
(*1막1장)
[구성] 숏폼2</t>
        </is>
      </c>
      <c r="D27" s="62" t="inlineStr">
        <is>
          <t>기획</t>
        </is>
      </c>
      <c r="E27" s="62" t="n">
        <v>1</v>
      </c>
      <c r="F27" s="62" t="inlineStr">
        <is>
          <t>Series</t>
        </is>
      </c>
      <c r="G27" s="62" t="n">
        <v>1</v>
      </c>
      <c r="H27" s="62" t="inlineStr">
        <is>
          <t>회</t>
        </is>
      </c>
      <c r="I27" s="226" t="n">
        <v>200000</v>
      </c>
      <c r="J27" s="45">
        <f>E27*G27*I27</f>
        <v/>
      </c>
      <c r="K27" s="27" t="inlineStr">
        <is>
          <t>데스크리서치, 레퍼런스, 기획</t>
        </is>
      </c>
      <c r="L27" s="97" t="n"/>
      <c r="M27" s="97" t="n"/>
      <c r="N27" s="97" t="n"/>
      <c r="O27" s="97" t="n"/>
      <c r="P27" s="97" t="n"/>
      <c r="Q27" s="97" t="n"/>
      <c r="R27" s="97" t="n"/>
      <c r="S27" s="97" t="n"/>
      <c r="T27" s="97" t="n"/>
      <c r="U27" s="97" t="n"/>
      <c r="V27" s="97" t="n"/>
      <c r="W27" s="97" t="n"/>
      <c r="X27" s="97" t="n"/>
      <c r="Y27" s="97" t="n"/>
      <c r="Z27" s="97" t="n"/>
      <c r="AA27" s="97" t="n"/>
      <c r="AB27" s="97" t="n"/>
      <c r="AC27" s="97" t="n"/>
      <c r="AD27" s="97" t="n"/>
    </row>
    <row r="28" ht="17" customHeight="1" s="173">
      <c r="A28" s="97" t="n"/>
      <c r="B28" s="209" t="n"/>
      <c r="C28" s="60" t="n"/>
      <c r="D28" s="62" t="inlineStr">
        <is>
          <t>촬영</t>
        </is>
      </c>
      <c r="E28" s="62" t="n">
        <v>1</v>
      </c>
      <c r="F28" s="62" t="inlineStr">
        <is>
          <t>Series</t>
        </is>
      </c>
      <c r="G28" s="62" t="n">
        <v>1</v>
      </c>
      <c r="H28" s="62" t="inlineStr">
        <is>
          <t>회</t>
        </is>
      </c>
      <c r="I28" s="226" t="n">
        <v>600000</v>
      </c>
      <c r="J28" s="45">
        <f>E28*G28*I28</f>
        <v/>
      </c>
      <c r="K28" s="27" t="inlineStr">
        <is>
          <t>2인 투입(핸드헬드캠1+짐벌캠1)</t>
        </is>
      </c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</row>
    <row r="29" ht="17" customHeight="1" s="173">
      <c r="A29" s="97" t="n"/>
      <c r="B29" s="209" t="n"/>
      <c r="C29" s="60" t="n"/>
      <c r="D29" s="62" t="inlineStr">
        <is>
          <t>촬영 색보정</t>
        </is>
      </c>
      <c r="E29" s="62" t="n">
        <v>1</v>
      </c>
      <c r="F29" s="62" t="inlineStr">
        <is>
          <t>Series</t>
        </is>
      </c>
      <c r="G29" s="62" t="n">
        <v>1</v>
      </c>
      <c r="H29" s="62" t="inlineStr">
        <is>
          <t>회</t>
        </is>
      </c>
      <c r="I29" s="226" t="n">
        <v>150000</v>
      </c>
      <c r="J29" s="45">
        <f>E29*G29*I29</f>
        <v/>
      </c>
      <c r="K29" s="27" t="n"/>
      <c r="L29" s="97" t="n"/>
      <c r="M29" s="97" t="n"/>
      <c r="N29" s="97" t="n"/>
      <c r="O29" s="97" t="n"/>
      <c r="P29" s="97" t="n"/>
      <c r="Q29" s="97" t="n"/>
      <c r="R29" s="97" t="n"/>
      <c r="S29" s="97" t="n"/>
      <c r="T29" s="97" t="n"/>
      <c r="U29" s="97" t="n"/>
      <c r="V29" s="97" t="n"/>
      <c r="W29" s="97" t="n"/>
      <c r="X29" s="97" t="n"/>
      <c r="Y29" s="97" t="n"/>
      <c r="Z29" s="97" t="n"/>
      <c r="AA29" s="97" t="n"/>
      <c r="AB29" s="97" t="n"/>
      <c r="AC29" s="97" t="n"/>
      <c r="AD29" s="97" t="n"/>
    </row>
    <row r="30" ht="17" customHeight="1" s="173">
      <c r="A30" s="97" t="n"/>
      <c r="B30" s="209" t="n"/>
      <c r="C30" s="61" t="n"/>
      <c r="D30" s="62" t="inlineStr">
        <is>
          <t>영상 편집</t>
        </is>
      </c>
      <c r="E30" s="62" t="n">
        <v>1</v>
      </c>
      <c r="F30" s="62" t="inlineStr">
        <is>
          <t>Series</t>
        </is>
      </c>
      <c r="G30" s="62" t="n">
        <v>2</v>
      </c>
      <c r="H30" s="62" t="inlineStr">
        <is>
          <t>숏폼</t>
        </is>
      </c>
      <c r="I30" s="226" t="n">
        <v>300000</v>
      </c>
      <c r="J30" s="45">
        <f>E30*G30*I30</f>
        <v/>
      </c>
      <c r="K30" s="27" t="inlineStr">
        <is>
          <t>수정편집 포함</t>
        </is>
      </c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  <c r="AA30" s="97" t="n"/>
      <c r="AB30" s="97" t="n"/>
      <c r="AC30" s="97" t="n"/>
      <c r="AD30" s="97" t="n"/>
    </row>
    <row r="31" ht="17" customHeight="1" s="173">
      <c r="A31" s="97" t="n"/>
      <c r="B31" s="216" t="n"/>
      <c r="C31" s="210" t="inlineStr">
        <is>
          <t>소계 ③</t>
        </is>
      </c>
      <c r="D31" s="211" t="n"/>
      <c r="E31" s="211" t="n"/>
      <c r="F31" s="211" t="n"/>
      <c r="G31" s="211" t="n"/>
      <c r="H31" s="211" t="n"/>
      <c r="I31" s="212" t="n"/>
      <c r="J31" s="48">
        <f>SUM(J27:J30)</f>
        <v/>
      </c>
      <c r="K31" s="49" t="n"/>
      <c r="L31" s="97" t="n"/>
      <c r="M31" s="97" t="n"/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</row>
    <row r="32" ht="61" customHeight="1" s="173">
      <c r="A32" s="97" t="n"/>
      <c r="B32" s="162" t="inlineStr">
        <is>
          <t>비정기
콘텐츠</t>
        </is>
      </c>
      <c r="C32" s="217" t="inlineStr">
        <is>
          <t>AI 스터디</t>
        </is>
      </c>
      <c r="D32" s="207" t="inlineStr">
        <is>
          <t>기획 / 프롬프트 지원</t>
        </is>
      </c>
      <c r="E32" s="62" t="n">
        <v>1</v>
      </c>
      <c r="F32" s="62" t="inlineStr">
        <is>
          <t>Series</t>
        </is>
      </c>
      <c r="G32" s="62" t="n">
        <v>1</v>
      </c>
      <c r="H32" s="62" t="inlineStr">
        <is>
          <t>회</t>
        </is>
      </c>
      <c r="I32" s="45" t="n">
        <v>200000</v>
      </c>
      <c r="J32" s="45">
        <f>E32*G32*I32</f>
        <v/>
      </c>
      <c r="K32" s="63" t="inlineStr">
        <is>
          <t>AI작업툴 스터디, 컨셉 기획, 프롬프트 설계 
* 1회 세션 준비 시 세션 준비(6h)+자료제작(4h)+세션 진행(3h) 정도 소요되었음. 초기 논의 시 비정기 콘텐츠는 단순 시간 단위로 나누기보다, 고정금액으로 이월 요소를 반영해 정기 콘텐츠 외 지원 수요를 고정적으로 반영하기 위한 목적으로 산정</t>
        </is>
      </c>
      <c r="L32" s="97" t="n"/>
      <c r="M32" s="97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  <c r="AA32" s="97" t="n"/>
      <c r="AB32" s="97" t="n"/>
      <c r="AC32" s="97" t="n"/>
      <c r="AD32" s="97" t="n"/>
    </row>
    <row r="33" ht="17" customHeight="1" s="173">
      <c r="A33" s="97" t="n"/>
      <c r="B33" s="218" t="n"/>
      <c r="C33" s="211" t="n"/>
      <c r="D33" s="207" t="inlineStr">
        <is>
          <t>AI 제작 지원</t>
        </is>
      </c>
      <c r="E33" s="62" t="n">
        <v>1</v>
      </c>
      <c r="F33" s="62" t="inlineStr">
        <is>
          <t>Series</t>
        </is>
      </c>
      <c r="G33" s="62" t="n">
        <v>1</v>
      </c>
      <c r="H33" s="62" t="inlineStr">
        <is>
          <t>회</t>
        </is>
      </c>
      <c r="I33" s="45" t="n">
        <v>250000</v>
      </c>
      <c r="J33" s="45">
        <f>E33*G33*I33</f>
        <v/>
      </c>
      <c r="K33" s="27" t="inlineStr">
        <is>
          <t>이미지 Upscale 및 후보정 (*영상 10초 이상 분량, 비용 별도 협의)</t>
        </is>
      </c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</row>
    <row r="34" ht="17" customHeight="1" s="173">
      <c r="A34" s="97" t="n"/>
      <c r="B34" s="218" t="n"/>
      <c r="C34" s="210" t="inlineStr">
        <is>
          <t>소계 ④</t>
        </is>
      </c>
      <c r="D34" s="211" t="n"/>
      <c r="E34" s="211" t="n"/>
      <c r="F34" s="211" t="n"/>
      <c r="G34" s="211" t="n"/>
      <c r="H34" s="211" t="n"/>
      <c r="I34" s="212" t="n"/>
      <c r="J34" s="48">
        <f>SUM(J32:J33)</f>
        <v/>
      </c>
      <c r="K34" s="49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  <c r="AD34" s="97" t="n"/>
    </row>
    <row r="35" ht="17" customHeight="1" s="173">
      <c r="A35" s="97" t="n"/>
      <c r="B35" s="218" t="n"/>
      <c r="C35" s="217" t="inlineStr">
        <is>
          <t>홍보/이벤트</t>
        </is>
      </c>
      <c r="D35" s="207" t="inlineStr">
        <is>
          <t>기획 및 소재제작</t>
        </is>
      </c>
      <c r="E35" s="62" t="n">
        <v>1</v>
      </c>
      <c r="F35" s="62" t="inlineStr">
        <is>
          <t>Series</t>
        </is>
      </c>
      <c r="G35" s="62" t="n">
        <v>1</v>
      </c>
      <c r="H35" s="62" t="inlineStr">
        <is>
          <t>회</t>
        </is>
      </c>
      <c r="I35" s="45" t="n">
        <v>200000</v>
      </c>
      <c r="J35" s="45">
        <f>E35*G35*I35</f>
        <v/>
      </c>
      <c r="K35" s="27" t="inlineStr">
        <is>
          <t>이미지 2장 기준 (*초과 분량 별도 협의)</t>
        </is>
      </c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  <c r="AA35" s="97" t="n"/>
      <c r="AB35" s="97" t="n"/>
      <c r="AC35" s="97" t="n"/>
      <c r="AD35" s="97" t="n"/>
    </row>
    <row r="36" ht="17" customHeight="1" s="173">
      <c r="A36" s="97" t="n"/>
      <c r="B36" s="218" t="n"/>
      <c r="C36" s="211" t="n"/>
      <c r="D36" s="207" t="inlineStr">
        <is>
          <t>이벤트 운영 지원</t>
        </is>
      </c>
      <c r="E36" s="62" t="n">
        <v>1</v>
      </c>
      <c r="F36" s="62" t="inlineStr">
        <is>
          <t>Series</t>
        </is>
      </c>
      <c r="G36" s="62" t="n">
        <v>1</v>
      </c>
      <c r="H36" s="62" t="inlineStr">
        <is>
          <t>회</t>
        </is>
      </c>
      <c r="I36" s="45" t="n">
        <v>200000</v>
      </c>
      <c r="J36" s="45">
        <f>E36*G36*I36</f>
        <v/>
      </c>
      <c r="K36" s="27" t="inlineStr">
        <is>
          <t>당첨자 선정, 경품 발송 등 업무 지원 (*경품비 별도)</t>
        </is>
      </c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  <c r="AA36" s="97" t="n"/>
      <c r="AB36" s="97" t="n"/>
      <c r="AC36" s="97" t="n"/>
      <c r="AD36" s="97" t="n"/>
    </row>
    <row r="37" ht="17" customHeight="1" s="173">
      <c r="A37" s="97" t="n"/>
      <c r="B37" s="219" t="n"/>
      <c r="C37" s="210" t="inlineStr">
        <is>
          <t>소계 ④</t>
        </is>
      </c>
      <c r="D37" s="211" t="n"/>
      <c r="E37" s="211" t="n"/>
      <c r="F37" s="211" t="n"/>
      <c r="G37" s="211" t="n"/>
      <c r="H37" s="211" t="n"/>
      <c r="I37" s="212" t="n"/>
      <c r="J37" s="48">
        <f>SUM(J35:J36)</f>
        <v/>
      </c>
      <c r="K37" s="49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</row>
    <row r="38" ht="17" customHeight="1" s="173">
      <c r="A38" s="67" t="n"/>
      <c r="B38" s="42" t="inlineStr">
        <is>
          <t>채널 운영 및 콘텐츠 업로드 지원</t>
        </is>
      </c>
      <c r="C38" s="214" t="n"/>
      <c r="D38" s="214" t="n"/>
      <c r="E38" s="214" t="n"/>
      <c r="F38" s="214" t="n"/>
      <c r="G38" s="214" t="n"/>
      <c r="H38" s="214" t="n"/>
      <c r="I38" s="215" t="n"/>
      <c r="J38" s="26" t="n">
        <v>200000</v>
      </c>
      <c r="K38" s="2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  <c r="AA38" s="67" t="n"/>
      <c r="AB38" s="67" t="n"/>
      <c r="AC38" s="67" t="n"/>
      <c r="AD38" s="67" t="n"/>
    </row>
    <row r="39" ht="17" customHeight="1" s="173">
      <c r="A39" s="67" t="n"/>
      <c r="B39" s="220" t="inlineStr">
        <is>
          <t>최종 합계</t>
        </is>
      </c>
      <c r="C39" s="214" t="n"/>
      <c r="D39" s="214" t="n"/>
      <c r="E39" s="214" t="n"/>
      <c r="F39" s="214" t="n"/>
      <c r="G39" s="214" t="n"/>
      <c r="H39" s="214" t="n"/>
      <c r="I39" s="215" t="n"/>
      <c r="J39" s="65" t="n">
        <v>7950000</v>
      </c>
      <c r="K39" s="66" t="inlineStr">
        <is>
          <t>*만 단위 절삭 
본 합계는 계산된 금액 기준으로, [시나리오] 시트의 할인액 참고</t>
        </is>
      </c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  <c r="AA39" s="67" t="n"/>
      <c r="AB39" s="67" t="n"/>
      <c r="AC39" s="67" t="n"/>
      <c r="AD39" s="67" t="n"/>
    </row>
    <row r="40" ht="13" customHeight="1" s="173">
      <c r="A40" s="97" t="n"/>
      <c r="B40" s="67" t="n"/>
      <c r="C40" s="67" t="n"/>
      <c r="D40" s="67" t="n"/>
      <c r="E40" s="67" t="n"/>
      <c r="F40" s="67" t="n"/>
      <c r="G40" s="67" t="n"/>
      <c r="H40" s="67" t="n"/>
      <c r="I40" s="68" t="n"/>
      <c r="J40" s="68" t="n"/>
      <c r="K40" s="6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</row>
    <row r="41" ht="17" customHeight="1" s="173">
      <c r="A41" s="97" t="n"/>
      <c r="B41" s="213" t="inlineStr">
        <is>
          <t>비정기 콘텐츠 상세 견적</t>
        </is>
      </c>
      <c r="C41" s="214" t="n"/>
      <c r="D41" s="214" t="n"/>
      <c r="E41" s="214" t="n"/>
      <c r="F41" s="214" t="n"/>
      <c r="G41" s="214" t="n"/>
      <c r="H41" s="214" t="n"/>
      <c r="I41" s="215" t="n"/>
      <c r="J41" s="51" t="n"/>
      <c r="K41" s="51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97" t="n"/>
      <c r="AC41" s="97" t="n"/>
      <c r="AD41" s="97" t="n"/>
    </row>
    <row r="42" ht="17" customHeight="1" s="173">
      <c r="A42" s="97" t="n"/>
      <c r="B42" s="52" t="inlineStr">
        <is>
          <t xml:space="preserve">-. 비정기콘텐츠 / 초과 분에 대한 비용가이드 </t>
        </is>
      </c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97" t="n"/>
      <c r="AC42" s="97" t="n"/>
      <c r="AD42" s="97" t="n"/>
    </row>
    <row r="43" ht="17" customHeight="1" s="173">
      <c r="A43" s="97" t="n"/>
      <c r="B43" s="42" t="inlineStr">
        <is>
          <t>비정기
콘텐츠</t>
        </is>
      </c>
      <c r="C43" s="221" t="inlineStr">
        <is>
          <t>AI 스터디</t>
        </is>
      </c>
      <c r="D43" s="42" t="inlineStr">
        <is>
          <t>기획 / 프롬프트 지원</t>
        </is>
      </c>
      <c r="E43" s="62" t="n">
        <v>1</v>
      </c>
      <c r="F43" s="62" t="inlineStr">
        <is>
          <t>Series</t>
        </is>
      </c>
      <c r="G43" s="62" t="n">
        <v>1</v>
      </c>
      <c r="H43" s="62" t="inlineStr">
        <is>
          <t>회</t>
        </is>
      </c>
      <c r="I43" s="45" t="n">
        <v>200000</v>
      </c>
      <c r="J43" s="45">
        <f>E43*G43*I43</f>
        <v/>
      </c>
      <c r="K43" s="27" t="inlineStr">
        <is>
          <t>컨셉 기획, 프롬프트 설계</t>
        </is>
      </c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</row>
    <row r="44" ht="17" customHeight="1" s="173">
      <c r="A44" s="97" t="n"/>
      <c r="B44" s="209" t="n"/>
      <c r="C44" s="209" t="n"/>
      <c r="D44" s="42" t="inlineStr">
        <is>
          <t xml:space="preserve"> AI 제작 지원 [이미지]</t>
        </is>
      </c>
      <c r="E44" s="62" t="n">
        <v>1</v>
      </c>
      <c r="F44" s="62" t="inlineStr">
        <is>
          <t>Series</t>
        </is>
      </c>
      <c r="G44" s="62" t="n">
        <v>1</v>
      </c>
      <c r="H44" s="62" t="inlineStr">
        <is>
          <t>회</t>
        </is>
      </c>
      <c r="I44" s="45" t="n">
        <v>250000</v>
      </c>
      <c r="J44" s="45">
        <f>E44*G44*I44</f>
        <v/>
      </c>
      <c r="K44" s="27" t="inlineStr">
        <is>
          <t>이미지 Upscale, 후보정</t>
        </is>
      </c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</row>
    <row r="45" ht="17" customHeight="1" s="173">
      <c r="A45" s="97" t="n"/>
      <c r="B45" s="209" t="n"/>
      <c r="C45" s="209" t="n"/>
      <c r="D45" s="42" t="inlineStr">
        <is>
          <t>AI 제작/편집 지원 [영상 10초↓]</t>
        </is>
      </c>
      <c r="E45" s="62" t="n">
        <v>1</v>
      </c>
      <c r="F45" s="62" t="inlineStr">
        <is>
          <t>Series</t>
        </is>
      </c>
      <c r="G45" s="62" t="n">
        <v>1</v>
      </c>
      <c r="H45" s="62" t="inlineStr">
        <is>
          <t>회</t>
        </is>
      </c>
      <c r="I45" s="45" t="n">
        <v>250000</v>
      </c>
      <c r="J45" s="45">
        <f>E45*G45*I45</f>
        <v/>
      </c>
      <c r="K45" s="27" t="inlineStr">
        <is>
          <t>영상 Upscale</t>
        </is>
      </c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</row>
    <row r="46" ht="17" customHeight="1" s="173">
      <c r="A46" s="97" t="n"/>
      <c r="B46" s="209" t="n"/>
      <c r="C46" s="216" t="n"/>
      <c r="D46" s="42" t="inlineStr">
        <is>
          <t>AI 제작/편집 지원 [영상 10초↑]</t>
        </is>
      </c>
      <c r="E46" s="62" t="n">
        <v>1</v>
      </c>
      <c r="F46" s="62" t="inlineStr">
        <is>
          <t>Series</t>
        </is>
      </c>
      <c r="G46" s="62" t="n">
        <v>1</v>
      </c>
      <c r="H46" s="62" t="inlineStr">
        <is>
          <t>회</t>
        </is>
      </c>
      <c r="I46" s="69" t="inlineStr">
        <is>
          <t>-</t>
        </is>
      </c>
      <c r="J46" s="69" t="inlineStr">
        <is>
          <t>-</t>
        </is>
      </c>
      <c r="K46" s="70" t="inlineStr">
        <is>
          <t>*내용에 따라 별도 협의</t>
        </is>
      </c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</row>
    <row r="47" ht="17" customHeight="1" s="173">
      <c r="A47" s="97" t="n"/>
      <c r="B47" s="209" t="n"/>
      <c r="C47" s="221" t="inlineStr">
        <is>
          <t>홍보/이벤트</t>
        </is>
      </c>
      <c r="D47" s="42" t="inlineStr">
        <is>
          <t>홍보/이벤트 기획</t>
        </is>
      </c>
      <c r="E47" s="62" t="n">
        <v>1</v>
      </c>
      <c r="F47" s="62" t="inlineStr">
        <is>
          <t>Series</t>
        </is>
      </c>
      <c r="G47" s="62" t="n">
        <v>1</v>
      </c>
      <c r="H47" s="62" t="inlineStr">
        <is>
          <t>회</t>
        </is>
      </c>
      <c r="I47" s="45" t="n">
        <v>100000</v>
      </c>
      <c r="J47" s="45">
        <f>E47*G47*I47</f>
        <v/>
      </c>
      <c r="K47" s="71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</row>
    <row r="48" ht="17" customHeight="1" s="173">
      <c r="A48" s="97" t="n"/>
      <c r="B48" s="209" t="n"/>
      <c r="C48" s="209" t="n"/>
      <c r="D48" s="42" t="inlineStr">
        <is>
          <t>소재 제작 [이미지]</t>
        </is>
      </c>
      <c r="E48" s="62" t="n">
        <v>1</v>
      </c>
      <c r="F48" s="62" t="inlineStr">
        <is>
          <t>Series</t>
        </is>
      </c>
      <c r="G48" s="62" t="n">
        <v>1</v>
      </c>
      <c r="H48" s="62" t="inlineStr">
        <is>
          <t>회</t>
        </is>
      </c>
      <c r="I48" s="45" t="n">
        <v>100000</v>
      </c>
      <c r="J48" s="45">
        <f>E48*G48*I48</f>
        <v/>
      </c>
      <c r="K48" s="72" t="inlineStr">
        <is>
          <t>이미지(캐러셀) 소재제작</t>
        </is>
      </c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</row>
    <row r="49" ht="17" customHeight="1" s="173">
      <c r="A49" s="97" t="n"/>
      <c r="B49" s="209" t="n"/>
      <c r="C49" s="209" t="n"/>
      <c r="D49" s="42" t="inlineStr">
        <is>
          <t>소재 제작 [영상]</t>
        </is>
      </c>
      <c r="E49" s="62" t="n">
        <v>1</v>
      </c>
      <c r="F49" s="62" t="inlineStr">
        <is>
          <t>Series</t>
        </is>
      </c>
      <c r="G49" s="62" t="n">
        <v>1</v>
      </c>
      <c r="H49" s="62" t="inlineStr">
        <is>
          <t>회</t>
        </is>
      </c>
      <c r="I49" s="45" t="n">
        <v>800000</v>
      </c>
      <c r="J49" s="45">
        <f>E49*G49*I49</f>
        <v/>
      </c>
      <c r="K49" s="72" t="inlineStr">
        <is>
          <t>영상(릴스)형 콘텐츠 제작</t>
        </is>
      </c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</row>
    <row r="50" ht="17" customHeight="1" s="173">
      <c r="A50" s="97" t="n"/>
      <c r="B50" s="216" t="n"/>
      <c r="C50" s="216" t="n"/>
      <c r="D50" s="42" t="inlineStr">
        <is>
          <t>이벤트 운영 지원</t>
        </is>
      </c>
      <c r="E50" s="62" t="n">
        <v>1</v>
      </c>
      <c r="F50" s="62" t="inlineStr">
        <is>
          <t>Series</t>
        </is>
      </c>
      <c r="G50" s="62" t="n">
        <v>1</v>
      </c>
      <c r="H50" s="62" t="inlineStr">
        <is>
          <t>회</t>
        </is>
      </c>
      <c r="I50" s="45" t="n">
        <v>200000</v>
      </c>
      <c r="J50" s="45">
        <f>E50*G50*I50</f>
        <v/>
      </c>
      <c r="K50" s="27" t="inlineStr">
        <is>
          <t>당첨자 선정, 경품 발송 등 업무 지원 (*경품비 별도)</t>
        </is>
      </c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</row>
    <row r="51" ht="13" customHeight="1" s="173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</row>
    <row r="52" ht="13" customHeight="1" s="173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</row>
    <row r="53" ht="13" customHeight="1" s="173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</row>
    <row r="54" ht="13" customHeight="1" s="173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</row>
    <row r="55" ht="13" customHeight="1" s="173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</row>
    <row r="56" ht="13" customHeight="1" s="173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</row>
    <row r="57" ht="13" customHeight="1" s="173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</row>
    <row r="58" ht="13" customHeight="1" s="173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</row>
    <row r="59" ht="13" customHeight="1" s="173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</row>
    <row r="60" ht="13" customHeight="1" s="173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</row>
    <row r="61" ht="13" customHeight="1" s="173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</row>
    <row r="62" ht="13" customHeight="1" s="173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</row>
    <row r="63" ht="13" customHeight="1" s="173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</row>
    <row r="64" ht="13" customHeight="1" s="173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</row>
    <row r="65" ht="13" customHeight="1" s="173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</row>
    <row r="66" ht="13" customHeight="1" s="173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</row>
    <row r="67" ht="13" customHeight="1" s="173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</row>
    <row r="68" ht="13" customHeight="1" s="173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</row>
    <row r="69" ht="13" customHeight="1" s="173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</row>
    <row r="70" ht="13" customHeight="1" s="173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</row>
    <row r="71" ht="13" customHeight="1" s="173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</row>
    <row r="72" ht="13" customHeight="1" s="173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</row>
    <row r="73" ht="13" customHeight="1" s="173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</row>
    <row r="74" ht="13" customHeight="1" s="173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</row>
    <row r="75" ht="13" customHeight="1" s="173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</row>
    <row r="76" ht="13" customHeight="1" s="173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</row>
    <row r="77" ht="13" customHeight="1" s="173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</row>
    <row r="78" ht="13" customHeight="1" s="173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</row>
    <row r="79" ht="13" customHeight="1" s="173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</row>
    <row r="80" ht="13" customHeight="1" s="173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</row>
    <row r="81" ht="13" customHeight="1" s="173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</row>
    <row r="82" ht="13" customHeight="1" s="173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</row>
    <row r="83" ht="13" customHeight="1" s="17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</row>
    <row r="84" ht="13" customHeight="1" s="173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</row>
    <row r="85" ht="13" customHeight="1" s="173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</row>
    <row r="86" ht="13" customHeight="1" s="173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</row>
    <row r="87" ht="13" customHeight="1" s="173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</row>
    <row r="88" ht="13" customHeight="1" s="173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</row>
    <row r="89" ht="13" customHeight="1" s="173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</row>
    <row r="90" ht="13" customHeight="1" s="173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</row>
    <row r="91" ht="13" customHeight="1" s="173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</row>
    <row r="92" ht="13" customHeight="1" s="173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</row>
    <row r="93" ht="13" customHeight="1" s="17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</row>
    <row r="94" ht="13" customHeight="1" s="173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</row>
    <row r="95" ht="13" customHeight="1" s="173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</row>
    <row r="96" ht="13" customHeight="1" s="173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</row>
    <row r="97" ht="13" customHeight="1" s="173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</row>
    <row r="98" ht="13" customHeight="1" s="173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</row>
    <row r="99" ht="13" customHeight="1" s="173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</row>
    <row r="100" ht="13" customHeight="1" s="173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</row>
    <row r="101" ht="13" customHeight="1" s="173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</row>
    <row r="102" ht="13" customHeight="1" s="173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</row>
    <row r="103" ht="13" customHeight="1" s="17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</row>
    <row r="104" ht="13" customHeight="1" s="173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</row>
    <row r="105" ht="13" customHeight="1" s="173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</row>
    <row r="106" ht="13" customHeight="1" s="173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</row>
    <row r="107" ht="13" customHeight="1" s="173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</row>
    <row r="108" ht="13" customHeight="1" s="173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</row>
    <row r="109" ht="13" customHeight="1" s="173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</row>
    <row r="110" ht="13" customHeight="1" s="173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</row>
    <row r="111" ht="13" customHeight="1" s="173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</row>
    <row r="112" ht="13" customHeight="1" s="173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</row>
    <row r="113" ht="13" customHeight="1" s="17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</row>
    <row r="114" ht="13" customHeight="1" s="173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</row>
    <row r="115" ht="13" customHeight="1" s="173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</row>
    <row r="116" ht="13" customHeight="1" s="173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</row>
    <row r="117" ht="13" customHeight="1" s="173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</row>
    <row r="118" ht="13" customHeight="1" s="173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</row>
    <row r="119" ht="13" customHeight="1" s="173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</row>
    <row r="120" ht="13" customHeight="1" s="173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</row>
    <row r="121" ht="13" customHeight="1" s="173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</row>
    <row r="122" ht="13" customHeight="1" s="173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</row>
    <row r="123" ht="13" customHeight="1" s="17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</row>
    <row r="124" ht="13" customHeight="1" s="173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</row>
    <row r="125" ht="13" customHeight="1" s="173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</row>
    <row r="126" ht="13" customHeight="1" s="173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</row>
    <row r="127" ht="13" customHeight="1" s="173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</row>
    <row r="128" ht="13" customHeight="1" s="173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</row>
    <row r="129" ht="13" customHeight="1" s="173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</row>
    <row r="130" ht="13" customHeight="1" s="173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</row>
    <row r="131" ht="13" customHeight="1" s="173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</row>
    <row r="132" ht="13" customHeight="1" s="173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</row>
    <row r="133" ht="13" customHeight="1" s="173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</row>
    <row r="134" ht="13" customHeight="1" s="173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</row>
    <row r="135" ht="13" customHeight="1" s="173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</row>
    <row r="136" ht="13" customHeight="1" s="173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</row>
    <row r="137" ht="13" customHeight="1" s="173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</row>
    <row r="138" ht="13" customHeight="1" s="173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</row>
    <row r="139" ht="13" customHeight="1" s="173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</row>
    <row r="140" ht="13" customHeight="1" s="173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</row>
    <row r="141" ht="13" customHeight="1" s="173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</row>
    <row r="142" ht="13" customHeight="1" s="173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</row>
    <row r="143" ht="13" customHeight="1" s="173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</row>
    <row r="144" ht="13" customHeight="1" s="173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</row>
    <row r="145" ht="13" customHeight="1" s="173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</row>
    <row r="146" ht="13" customHeight="1" s="173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</row>
    <row r="147" ht="13" customHeight="1" s="173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</row>
    <row r="148" ht="13" customHeight="1" s="173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</row>
    <row r="149" ht="13" customHeight="1" s="173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</row>
    <row r="150" ht="13" customHeight="1" s="173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</row>
    <row r="151" ht="13" customHeight="1" s="173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</row>
    <row r="152" ht="13" customHeight="1" s="173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</row>
    <row r="153" ht="13" customHeight="1" s="173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</row>
    <row r="154" ht="13" customHeight="1" s="173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</row>
    <row r="155" ht="13" customHeight="1" s="173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</row>
    <row r="156" ht="13" customHeight="1" s="173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</row>
    <row r="157" ht="13" customHeight="1" s="173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</row>
    <row r="158" ht="13" customHeight="1" s="173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</row>
    <row r="159" ht="13" customHeight="1" s="173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</row>
    <row r="160" ht="13" customHeight="1" s="173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</row>
    <row r="161" ht="13" customHeight="1" s="173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</row>
    <row r="162" ht="13" customHeight="1" s="173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</row>
    <row r="163" ht="13" customHeight="1" s="173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</row>
    <row r="164" ht="13" customHeight="1" s="173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</row>
    <row r="165" ht="13" customHeight="1" s="173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</row>
    <row r="166" ht="13" customHeight="1" s="173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</row>
    <row r="167" ht="13" customHeight="1" s="173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</row>
    <row r="168" ht="13" customHeight="1" s="173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</row>
    <row r="169" ht="13" customHeight="1" s="173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</row>
    <row r="170" ht="13" customHeight="1" s="173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</row>
    <row r="171" ht="13" customHeight="1" s="173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</row>
    <row r="172" ht="13" customHeight="1" s="173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</row>
    <row r="173" ht="13" customHeight="1" s="173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</row>
    <row r="174" ht="13" customHeight="1" s="173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</row>
    <row r="175" ht="13" customHeight="1" s="173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</row>
    <row r="176" ht="13" customHeight="1" s="173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</row>
    <row r="177" ht="13" customHeight="1" s="173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</row>
    <row r="178" ht="13" customHeight="1" s="173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</row>
    <row r="179" ht="13" customHeight="1" s="173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</row>
    <row r="180" ht="13" customHeight="1" s="173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</row>
    <row r="181" ht="13" customHeight="1" s="173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</row>
    <row r="182" ht="13" customHeight="1" s="173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</row>
    <row r="183" ht="13" customHeight="1" s="173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</row>
    <row r="184" ht="13" customHeight="1" s="173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</row>
    <row r="185" ht="13" customHeight="1" s="173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</row>
    <row r="186" ht="13" customHeight="1" s="173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</row>
    <row r="187" ht="13" customHeight="1" s="173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</row>
    <row r="188" ht="13" customHeight="1" s="173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</row>
    <row r="189" ht="13" customHeight="1" s="173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</row>
    <row r="190" ht="13" customHeight="1" s="173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</row>
    <row r="191" ht="13" customHeight="1" s="173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</row>
    <row r="192" ht="13" customHeight="1" s="173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</row>
    <row r="193" ht="13" customHeight="1" s="173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</row>
    <row r="194" ht="13" customHeight="1" s="173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</row>
    <row r="195" ht="13" customHeight="1" s="173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</row>
    <row r="196" ht="13" customHeight="1" s="173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</row>
    <row r="197" ht="13" customHeight="1" s="173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</row>
    <row r="198" ht="13" customHeight="1" s="173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</row>
    <row r="199" ht="13" customHeight="1" s="173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</row>
    <row r="200" ht="13" customHeight="1" s="173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</row>
    <row r="201" ht="13" customHeight="1" s="173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</row>
    <row r="202" ht="13" customHeight="1" s="173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</row>
    <row r="203" ht="13" customHeight="1" s="173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</row>
    <row r="204" ht="13" customHeight="1" s="173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</row>
    <row r="205" ht="13" customHeight="1" s="173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</row>
    <row r="206" ht="13" customHeight="1" s="173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</row>
    <row r="207" ht="13" customHeight="1" s="173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</row>
    <row r="208" ht="13" customHeight="1" s="173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</row>
    <row r="209" ht="13" customHeight="1" s="173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</row>
    <row r="210" ht="13" customHeight="1" s="173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</row>
    <row r="211" ht="13" customHeight="1" s="173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</row>
    <row r="212" ht="13" customHeight="1" s="173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</row>
    <row r="213" ht="13" customHeight="1" s="173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</row>
    <row r="214" ht="13" customHeight="1" s="173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</row>
    <row r="215" ht="13" customHeight="1" s="173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</row>
    <row r="216" ht="13" customHeight="1" s="173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</row>
    <row r="217" ht="13" customHeight="1" s="173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</row>
    <row r="218" ht="13" customHeight="1" s="173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</row>
    <row r="219" ht="13" customHeight="1" s="173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</row>
    <row r="220" ht="13" customHeight="1" s="173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</row>
    <row r="221" ht="13" customHeight="1" s="173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</row>
    <row r="222" ht="13" customHeight="1" s="173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</row>
    <row r="223" ht="13" customHeight="1" s="173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</row>
    <row r="224" ht="13" customHeight="1" s="173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</row>
    <row r="225" ht="13" customHeight="1" s="173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</row>
    <row r="226" ht="13" customHeight="1" s="173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</row>
    <row r="227" ht="13" customHeight="1" s="173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</row>
    <row r="228" ht="13" customHeight="1" s="173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</row>
    <row r="229" ht="13" customHeight="1" s="173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</row>
    <row r="230" ht="13" customHeight="1" s="173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</row>
    <row r="231" ht="13" customHeight="1" s="173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</row>
    <row r="232" ht="13" customHeight="1" s="173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</row>
    <row r="233" ht="13" customHeight="1" s="173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</row>
    <row r="234" ht="13" customHeight="1" s="173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</row>
    <row r="235" ht="13" customHeight="1" s="173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</row>
    <row r="236" ht="13" customHeight="1" s="173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</row>
    <row r="237" ht="13" customHeight="1" s="173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</row>
    <row r="238" ht="13" customHeight="1" s="173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</row>
    <row r="239" ht="13" customHeight="1" s="173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</row>
    <row r="240" ht="13" customHeight="1" s="173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</row>
    <row r="241" ht="13" customHeight="1" s="173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</row>
    <row r="242" ht="13" customHeight="1" s="173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</row>
    <row r="243" ht="13" customHeight="1" s="173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</row>
    <row r="244" ht="13" customHeight="1" s="173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</row>
    <row r="245" ht="13" customHeight="1" s="173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</row>
    <row r="246" ht="13" customHeight="1" s="173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</row>
    <row r="247" ht="13" customHeight="1" s="173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</row>
    <row r="248" ht="13" customHeight="1" s="173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</row>
    <row r="249" ht="13" customHeight="1" s="173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</row>
    <row r="250" ht="13" customHeight="1" s="173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</row>
    <row r="251" ht="13" customHeight="1" s="173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</row>
    <row r="252" ht="13" customHeight="1" s="173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</row>
    <row r="253" ht="13" customHeight="1" s="173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</row>
    <row r="254" ht="13" customHeight="1" s="173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</row>
    <row r="255" ht="13" customHeight="1" s="173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</row>
    <row r="256" ht="13" customHeight="1" s="173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</row>
    <row r="257" ht="13" customHeight="1" s="173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</row>
    <row r="258" ht="13" customHeight="1" s="173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</row>
    <row r="259" ht="13" customHeight="1" s="173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</row>
    <row r="260" ht="13" customHeight="1" s="173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</row>
    <row r="261" ht="13" customHeight="1" s="173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</row>
    <row r="262" ht="13" customHeight="1" s="173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</row>
    <row r="263" ht="13" customHeight="1" s="173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</row>
    <row r="264" ht="13" customHeight="1" s="173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</row>
    <row r="265" ht="13" customHeight="1" s="173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</row>
    <row r="266" ht="13" customHeight="1" s="173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</row>
    <row r="267" ht="13" customHeight="1" s="173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</row>
    <row r="268" ht="13" customHeight="1" s="173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</row>
    <row r="269" ht="13" customHeight="1" s="173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</row>
    <row r="270" ht="13" customHeight="1" s="173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</row>
    <row r="271" ht="13" customHeight="1" s="173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</row>
    <row r="272" ht="13" customHeight="1" s="173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</row>
    <row r="273" ht="13" customHeight="1" s="173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</row>
    <row r="274" ht="13" customHeight="1" s="173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</row>
    <row r="275" ht="13" customHeight="1" s="173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</row>
    <row r="276" ht="13" customHeight="1" s="173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</row>
    <row r="277" ht="13" customHeight="1" s="173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</row>
    <row r="278" ht="13" customHeight="1" s="173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</row>
    <row r="279" ht="13" customHeight="1" s="173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</row>
    <row r="280" ht="13" customHeight="1" s="173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</row>
    <row r="281" ht="13" customHeight="1" s="173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</row>
    <row r="282" ht="13" customHeight="1" s="173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</row>
    <row r="283" ht="13" customHeight="1" s="173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</row>
    <row r="284" ht="13" customHeight="1" s="173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</row>
    <row r="285" ht="13" customHeight="1" s="173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</row>
    <row r="286" ht="13" customHeight="1" s="173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</row>
    <row r="287" ht="13" customHeight="1" s="173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</row>
    <row r="288" ht="13" customHeight="1" s="173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</row>
    <row r="289" ht="13" customHeight="1" s="173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</row>
    <row r="290" ht="13" customHeight="1" s="173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</row>
    <row r="291" ht="13" customHeight="1" s="173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</row>
    <row r="292" ht="13" customHeight="1" s="173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</row>
    <row r="293" ht="13" customHeight="1" s="173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</row>
    <row r="294" ht="13" customHeight="1" s="173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</row>
    <row r="295" ht="13" customHeight="1" s="173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</row>
    <row r="296" ht="13" customHeight="1" s="173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</row>
    <row r="297" ht="13" customHeight="1" s="173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</row>
    <row r="298" ht="13" customHeight="1" s="173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</row>
    <row r="299" ht="13" customHeight="1" s="173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</row>
    <row r="300" ht="13" customHeight="1" s="173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</row>
    <row r="301" ht="13" customHeight="1" s="173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</row>
    <row r="302" ht="13" customHeight="1" s="173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</row>
    <row r="303" ht="13" customHeight="1" s="173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</row>
    <row r="304" ht="13" customHeight="1" s="173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</row>
    <row r="305" ht="13" customHeight="1" s="173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</row>
    <row r="306" ht="13" customHeight="1" s="173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</row>
    <row r="307" ht="13" customHeight="1" s="173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</row>
    <row r="308" ht="13" customHeight="1" s="173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</row>
    <row r="309" ht="13" customHeight="1" s="173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</row>
    <row r="310" ht="13" customHeight="1" s="173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</row>
    <row r="311" ht="13" customHeight="1" s="173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</row>
    <row r="312" ht="13" customHeight="1" s="173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</row>
    <row r="313" ht="13" customHeight="1" s="173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</row>
    <row r="314" ht="13" customHeight="1" s="173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</row>
    <row r="315" ht="13" customHeight="1" s="173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</row>
    <row r="316" ht="13" customHeight="1" s="173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</row>
    <row r="317" ht="13" customHeight="1" s="173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</row>
    <row r="318" ht="13" customHeight="1" s="173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</row>
    <row r="319" ht="13" customHeight="1" s="173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</row>
    <row r="320" ht="13" customHeight="1" s="173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</row>
    <row r="321" ht="13" customHeight="1" s="173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</row>
    <row r="322" ht="13" customHeight="1" s="173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</row>
    <row r="323" ht="13" customHeight="1" s="173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</row>
    <row r="324" ht="13" customHeight="1" s="173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</row>
    <row r="325" ht="13" customHeight="1" s="173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</row>
    <row r="326" ht="13" customHeight="1" s="173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</row>
    <row r="327" ht="13" customHeight="1" s="173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</row>
    <row r="328" ht="13" customHeight="1" s="173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</row>
    <row r="329" ht="13" customHeight="1" s="173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</row>
    <row r="330" ht="13" customHeight="1" s="173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</row>
    <row r="331" ht="13" customHeight="1" s="173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</row>
    <row r="332" ht="13" customHeight="1" s="173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</row>
    <row r="333" ht="13" customHeight="1" s="173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</row>
    <row r="334" ht="13" customHeight="1" s="173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</row>
    <row r="335" ht="13" customHeight="1" s="173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</row>
    <row r="336" ht="13" customHeight="1" s="173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</row>
    <row r="337" ht="13" customHeight="1" s="173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</row>
    <row r="338" ht="13" customHeight="1" s="173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</row>
    <row r="339" ht="13" customHeight="1" s="173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</row>
    <row r="340" ht="13" customHeight="1" s="173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</row>
    <row r="341" ht="13" customHeight="1" s="173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</row>
    <row r="342" ht="13" customHeight="1" s="173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</row>
    <row r="343" ht="13" customHeight="1" s="173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</row>
    <row r="344" ht="13" customHeight="1" s="173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</row>
    <row r="345" ht="13" customHeight="1" s="173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</row>
    <row r="346" ht="13" customHeight="1" s="173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</row>
    <row r="347" ht="13" customHeight="1" s="173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</row>
    <row r="348" ht="13" customHeight="1" s="173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</row>
    <row r="349" ht="13" customHeight="1" s="173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</row>
    <row r="350" ht="13" customHeight="1" s="173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</row>
    <row r="351" ht="13" customHeight="1" s="173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</row>
    <row r="352" ht="13" customHeight="1" s="173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</row>
    <row r="353" ht="13" customHeight="1" s="173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</row>
    <row r="354" ht="13" customHeight="1" s="173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</row>
    <row r="355" ht="13" customHeight="1" s="173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</row>
    <row r="356" ht="13" customHeight="1" s="173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</row>
    <row r="357" ht="13" customHeight="1" s="173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</row>
    <row r="358" ht="13" customHeight="1" s="173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</row>
    <row r="359" ht="13" customHeight="1" s="173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</row>
    <row r="360" ht="13" customHeight="1" s="173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</row>
    <row r="361" ht="13" customHeight="1" s="173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</row>
    <row r="362" ht="13" customHeight="1" s="173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</row>
    <row r="363" ht="13" customHeight="1" s="173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</row>
    <row r="364" ht="13" customHeight="1" s="173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</row>
    <row r="365" ht="13" customHeight="1" s="173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</row>
    <row r="366" ht="13" customHeight="1" s="173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</row>
    <row r="367" ht="13" customHeight="1" s="173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</row>
    <row r="368" ht="13" customHeight="1" s="173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</row>
    <row r="369" ht="13" customHeight="1" s="173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</row>
    <row r="370" ht="13" customHeight="1" s="173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</row>
    <row r="371" ht="13" customHeight="1" s="173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</row>
    <row r="372" ht="13" customHeight="1" s="173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</row>
    <row r="373" ht="13" customHeight="1" s="173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</row>
    <row r="374" ht="13" customHeight="1" s="173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</row>
    <row r="375" ht="13" customHeight="1" s="173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</row>
    <row r="376" ht="13" customHeight="1" s="173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</row>
    <row r="377" ht="13" customHeight="1" s="173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</row>
    <row r="378" ht="13" customHeight="1" s="173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</row>
    <row r="379" ht="13" customHeight="1" s="173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</row>
    <row r="380" ht="13" customHeight="1" s="173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</row>
    <row r="381" ht="13" customHeight="1" s="173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</row>
    <row r="382" ht="13" customHeight="1" s="173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</row>
    <row r="383" ht="13" customHeight="1" s="173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</row>
    <row r="384" ht="13" customHeight="1" s="173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</row>
    <row r="385" ht="13" customHeight="1" s="173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</row>
    <row r="386" ht="13" customHeight="1" s="173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</row>
    <row r="387" ht="13" customHeight="1" s="173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</row>
    <row r="388" ht="13" customHeight="1" s="173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</row>
    <row r="389" ht="13" customHeight="1" s="173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</row>
    <row r="390" ht="13" customHeight="1" s="173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</row>
    <row r="391" ht="13" customHeight="1" s="173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</row>
    <row r="392" ht="13" customHeight="1" s="173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</row>
    <row r="393" ht="13" customHeight="1" s="173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</row>
    <row r="394" ht="13" customHeight="1" s="173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</row>
    <row r="395" ht="13" customHeight="1" s="173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</row>
    <row r="396" ht="13" customHeight="1" s="173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</row>
    <row r="397" ht="13" customHeight="1" s="173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</row>
    <row r="398" ht="13" customHeight="1" s="173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</row>
    <row r="399" ht="13" customHeight="1" s="173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</row>
    <row r="400" ht="13" customHeight="1" s="173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</row>
    <row r="401" ht="13" customHeight="1" s="173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</row>
    <row r="402" ht="13" customHeight="1" s="173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</row>
    <row r="403" ht="13" customHeight="1" s="173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</row>
    <row r="404" ht="13" customHeight="1" s="173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</row>
    <row r="405" ht="13" customHeight="1" s="173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</row>
    <row r="406" ht="13" customHeight="1" s="173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</row>
    <row r="407" ht="13" customHeight="1" s="173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</row>
    <row r="408" ht="13" customHeight="1" s="173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</row>
    <row r="409" ht="13" customHeight="1" s="173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</row>
    <row r="410" ht="13" customHeight="1" s="173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</row>
    <row r="411" ht="13" customHeight="1" s="173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</row>
    <row r="412" ht="13" customHeight="1" s="173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</row>
    <row r="413" ht="13" customHeight="1" s="173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</row>
    <row r="414" ht="13" customHeight="1" s="173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</row>
    <row r="415" ht="13" customHeight="1" s="173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</row>
    <row r="416" ht="13" customHeight="1" s="173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</row>
    <row r="417" ht="13" customHeight="1" s="173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</row>
    <row r="418" ht="13" customHeight="1" s="173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</row>
    <row r="419" ht="13" customHeight="1" s="173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</row>
    <row r="420" ht="13" customHeight="1" s="173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</row>
    <row r="421" ht="13" customHeight="1" s="173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</row>
    <row r="422" ht="13" customHeight="1" s="173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</row>
    <row r="423" ht="13" customHeight="1" s="173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</row>
    <row r="424" ht="13" customHeight="1" s="173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</row>
    <row r="425" ht="13" customHeight="1" s="173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</row>
    <row r="426" ht="13" customHeight="1" s="173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</row>
    <row r="427" ht="13" customHeight="1" s="173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</row>
    <row r="428" ht="13" customHeight="1" s="173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</row>
    <row r="429" ht="13" customHeight="1" s="173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</row>
    <row r="430" ht="13" customHeight="1" s="173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</row>
    <row r="431" ht="13" customHeight="1" s="173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</row>
    <row r="432" ht="13" customHeight="1" s="173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</row>
    <row r="433" ht="13" customHeight="1" s="173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</row>
    <row r="434" ht="13" customHeight="1" s="173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</row>
    <row r="435" ht="13" customHeight="1" s="173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</row>
    <row r="436" ht="13" customHeight="1" s="173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</row>
    <row r="437" ht="13" customHeight="1" s="173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</row>
    <row r="438" ht="13" customHeight="1" s="173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</row>
    <row r="439" ht="13" customHeight="1" s="173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</row>
    <row r="440" ht="13" customHeight="1" s="173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</row>
    <row r="441" ht="13" customHeight="1" s="173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</row>
    <row r="442" ht="13" customHeight="1" s="173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</row>
    <row r="443" ht="13" customHeight="1" s="173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</row>
    <row r="444" ht="13" customHeight="1" s="173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</row>
    <row r="445" ht="13" customHeight="1" s="173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</row>
    <row r="446" ht="13" customHeight="1" s="173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</row>
    <row r="447" ht="13" customHeight="1" s="173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</row>
    <row r="448" ht="13" customHeight="1" s="173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</row>
    <row r="449" ht="13" customHeight="1" s="173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</row>
    <row r="450" ht="13" customHeight="1" s="173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</row>
    <row r="451" ht="13" customHeight="1" s="173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</row>
    <row r="452" ht="13" customHeight="1" s="173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</row>
    <row r="453" ht="13" customHeight="1" s="173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</row>
    <row r="454" ht="13" customHeight="1" s="173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</row>
    <row r="455" ht="13" customHeight="1" s="173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</row>
    <row r="456" ht="13" customHeight="1" s="173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</row>
    <row r="457" ht="13" customHeight="1" s="173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</row>
    <row r="458" ht="13" customHeight="1" s="173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</row>
    <row r="459" ht="13" customHeight="1" s="173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</row>
    <row r="460" ht="13" customHeight="1" s="173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</row>
    <row r="461" ht="13" customHeight="1" s="173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</row>
    <row r="462" ht="13" customHeight="1" s="173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</row>
    <row r="463" ht="13" customHeight="1" s="173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</row>
    <row r="464" ht="13" customHeight="1" s="173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</row>
    <row r="465" ht="13" customHeight="1" s="173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</row>
    <row r="466" ht="13" customHeight="1" s="173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</row>
    <row r="467" ht="13" customHeight="1" s="173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</row>
    <row r="468" ht="13" customHeight="1" s="173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</row>
    <row r="469" ht="13" customHeight="1" s="173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</row>
    <row r="470" ht="13" customHeight="1" s="173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</row>
    <row r="471" ht="13" customHeight="1" s="173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</row>
    <row r="472" ht="13" customHeight="1" s="173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</row>
    <row r="473" ht="13" customHeight="1" s="173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</row>
    <row r="474" ht="13" customHeight="1" s="173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</row>
    <row r="475" ht="13" customHeight="1" s="173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</row>
    <row r="476" ht="13" customHeight="1" s="173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</row>
    <row r="477" ht="13" customHeight="1" s="173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</row>
    <row r="478" ht="13" customHeight="1" s="173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</row>
    <row r="479" ht="13" customHeight="1" s="173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</row>
    <row r="480" ht="13" customHeight="1" s="173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</row>
    <row r="481" ht="13" customHeight="1" s="173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</row>
    <row r="482" ht="13" customHeight="1" s="173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</row>
    <row r="483" ht="13" customHeight="1" s="173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</row>
    <row r="484" ht="13" customHeight="1" s="173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</row>
    <row r="485" ht="13" customHeight="1" s="173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</row>
    <row r="486" ht="13" customHeight="1" s="173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</row>
    <row r="487" ht="13" customHeight="1" s="173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</row>
    <row r="488" ht="13" customHeight="1" s="173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</row>
    <row r="489" ht="13" customHeight="1" s="173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</row>
    <row r="490" ht="13" customHeight="1" s="173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</row>
    <row r="491" ht="13" customHeight="1" s="173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</row>
    <row r="492" ht="13" customHeight="1" s="173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</row>
    <row r="493" ht="13" customHeight="1" s="173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</row>
    <row r="494" ht="13" customHeight="1" s="173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</row>
    <row r="495" ht="13" customHeight="1" s="173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</row>
    <row r="496" ht="13" customHeight="1" s="173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</row>
    <row r="497" ht="13" customHeight="1" s="173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</row>
    <row r="498" ht="13" customHeight="1" s="173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</row>
    <row r="499" ht="13" customHeight="1" s="173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</row>
    <row r="500" ht="13" customHeight="1" s="173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</row>
    <row r="501" ht="13" customHeight="1" s="173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</row>
    <row r="502" ht="13" customHeight="1" s="173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</row>
    <row r="503" ht="13" customHeight="1" s="173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</row>
    <row r="504" ht="13" customHeight="1" s="173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</row>
    <row r="505" ht="13" customHeight="1" s="173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</row>
    <row r="506" ht="13" customHeight="1" s="173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</row>
    <row r="507" ht="13" customHeight="1" s="173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</row>
    <row r="508" ht="13" customHeight="1" s="173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</row>
    <row r="509" ht="13" customHeight="1" s="173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</row>
    <row r="510" ht="13" customHeight="1" s="173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</row>
    <row r="511" ht="13" customHeight="1" s="173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</row>
    <row r="512" ht="13" customHeight="1" s="173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</row>
    <row r="513" ht="13" customHeight="1" s="173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</row>
    <row r="514" ht="13" customHeight="1" s="173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</row>
    <row r="515" ht="13" customHeight="1" s="173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</row>
    <row r="516" ht="13" customHeight="1" s="173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</row>
    <row r="517" ht="13" customHeight="1" s="173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</row>
    <row r="518" ht="13" customHeight="1" s="173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</row>
    <row r="519" ht="13" customHeight="1" s="173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</row>
    <row r="520" ht="13" customHeight="1" s="173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</row>
    <row r="521" ht="13" customHeight="1" s="173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</row>
    <row r="522" ht="13" customHeight="1" s="173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</row>
    <row r="523" ht="13" customHeight="1" s="173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</row>
    <row r="524" ht="13" customHeight="1" s="173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</row>
    <row r="525" ht="13" customHeight="1" s="173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</row>
    <row r="526" ht="13" customHeight="1" s="173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</row>
    <row r="527" ht="13" customHeight="1" s="173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</row>
    <row r="528" ht="13" customHeight="1" s="173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</row>
    <row r="529" ht="13" customHeight="1" s="173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</row>
    <row r="530" ht="13" customHeight="1" s="173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</row>
    <row r="531" ht="13" customHeight="1" s="173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</row>
    <row r="532" ht="13" customHeight="1" s="173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</row>
    <row r="533" ht="13" customHeight="1" s="173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</row>
    <row r="534" ht="13" customHeight="1" s="173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</row>
    <row r="535" ht="13" customHeight="1" s="173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</row>
    <row r="536" ht="13" customHeight="1" s="173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</row>
    <row r="537" ht="13" customHeight="1" s="173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</row>
    <row r="538" ht="13" customHeight="1" s="173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</row>
    <row r="539" ht="13" customHeight="1" s="173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</row>
    <row r="540" ht="13" customHeight="1" s="173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</row>
    <row r="541" ht="13" customHeight="1" s="173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</row>
    <row r="542" ht="13" customHeight="1" s="173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</row>
    <row r="543" ht="13" customHeight="1" s="173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</row>
    <row r="544" ht="13" customHeight="1" s="173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</row>
    <row r="545" ht="13" customHeight="1" s="173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</row>
    <row r="546" ht="13" customHeight="1" s="173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</row>
    <row r="547" ht="13" customHeight="1" s="173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</row>
    <row r="548" ht="13" customHeight="1" s="173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</row>
    <row r="549" ht="13" customHeight="1" s="173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</row>
    <row r="550" ht="13" customHeight="1" s="173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</row>
    <row r="551" ht="13" customHeight="1" s="173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</row>
    <row r="552" ht="13" customHeight="1" s="173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</row>
    <row r="553" ht="13" customHeight="1" s="173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</row>
    <row r="554" ht="13" customHeight="1" s="173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</row>
    <row r="555" ht="13" customHeight="1" s="173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</row>
    <row r="556" ht="13" customHeight="1" s="173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</row>
    <row r="557" ht="13" customHeight="1" s="173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</row>
    <row r="558" ht="13" customHeight="1" s="173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</row>
    <row r="559" ht="13" customHeight="1" s="173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</row>
    <row r="560" ht="13" customHeight="1" s="173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</row>
    <row r="561" ht="13" customHeight="1" s="173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</row>
    <row r="562" ht="13" customHeight="1" s="173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</row>
    <row r="563" ht="13" customHeight="1" s="173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</row>
    <row r="564" ht="13" customHeight="1" s="173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</row>
    <row r="565" ht="13" customHeight="1" s="173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</row>
    <row r="566" ht="13" customHeight="1" s="173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</row>
    <row r="567" ht="13" customHeight="1" s="173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</row>
    <row r="568" ht="13" customHeight="1" s="173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</row>
    <row r="569" ht="13" customHeight="1" s="173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</row>
    <row r="570" ht="13" customHeight="1" s="173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</row>
    <row r="571" ht="13" customHeight="1" s="173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</row>
    <row r="572" ht="13" customHeight="1" s="173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</row>
    <row r="573" ht="13" customHeight="1" s="173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</row>
    <row r="574" ht="13" customHeight="1" s="173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</row>
    <row r="575" ht="13" customHeight="1" s="173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</row>
    <row r="576" ht="13" customHeight="1" s="173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</row>
    <row r="577" ht="13" customHeight="1" s="173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</row>
    <row r="578" ht="13" customHeight="1" s="173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</row>
    <row r="579" ht="13" customHeight="1" s="173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</row>
    <row r="580" ht="13" customHeight="1" s="173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</row>
    <row r="581" ht="13" customHeight="1" s="173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</row>
    <row r="582" ht="13" customHeight="1" s="173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</row>
    <row r="583" ht="13" customHeight="1" s="173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</row>
    <row r="584" ht="13" customHeight="1" s="173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</row>
    <row r="585" ht="13" customHeight="1" s="173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</row>
    <row r="586" ht="13" customHeight="1" s="173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</row>
    <row r="587" ht="13" customHeight="1" s="173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</row>
    <row r="588" ht="13" customHeight="1" s="173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</row>
    <row r="589" ht="13" customHeight="1" s="173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</row>
    <row r="590" ht="13" customHeight="1" s="173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</row>
    <row r="591" ht="13" customHeight="1" s="173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</row>
    <row r="592" ht="13" customHeight="1" s="173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</row>
    <row r="593" ht="13" customHeight="1" s="173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</row>
    <row r="594" ht="13" customHeight="1" s="173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</row>
    <row r="595" ht="13" customHeight="1" s="173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</row>
    <row r="596" ht="13" customHeight="1" s="173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</row>
    <row r="597" ht="13" customHeight="1" s="173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</row>
    <row r="598" ht="13" customHeight="1" s="173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</row>
    <row r="599" ht="13" customHeight="1" s="173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</row>
    <row r="600" ht="13" customHeight="1" s="173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</row>
    <row r="601" ht="13" customHeight="1" s="173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</row>
    <row r="602" ht="13" customHeight="1" s="173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</row>
    <row r="603" ht="13" customHeight="1" s="173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</row>
    <row r="604" ht="13" customHeight="1" s="173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</row>
    <row r="605" ht="13" customHeight="1" s="173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</row>
    <row r="606" ht="13" customHeight="1" s="173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</row>
    <row r="607" ht="13" customHeight="1" s="173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</row>
    <row r="608" ht="13" customHeight="1" s="173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</row>
    <row r="609" ht="13" customHeight="1" s="173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</row>
    <row r="610" ht="13" customHeight="1" s="173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</row>
    <row r="611" ht="13" customHeight="1" s="173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</row>
    <row r="612" ht="13" customHeight="1" s="173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</row>
    <row r="613" ht="13" customHeight="1" s="173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</row>
    <row r="614" ht="13" customHeight="1" s="173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</row>
    <row r="615" ht="13" customHeight="1" s="173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</row>
    <row r="616" ht="13" customHeight="1" s="173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</row>
    <row r="617" ht="13" customHeight="1" s="173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</row>
    <row r="618" ht="13" customHeight="1" s="173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</row>
    <row r="619" ht="13" customHeight="1" s="173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</row>
    <row r="620" ht="13" customHeight="1" s="173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</row>
    <row r="621" ht="13" customHeight="1" s="173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</row>
    <row r="622" ht="13" customHeight="1" s="173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</row>
    <row r="623" ht="13" customHeight="1" s="173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</row>
    <row r="624" ht="13" customHeight="1" s="173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</row>
    <row r="625" ht="13" customHeight="1" s="173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</row>
    <row r="626" ht="13" customHeight="1" s="173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</row>
    <row r="627" ht="13" customHeight="1" s="173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</row>
    <row r="628" ht="13" customHeight="1" s="173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</row>
    <row r="629" ht="13" customHeight="1" s="173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</row>
    <row r="630" ht="13" customHeight="1" s="173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</row>
    <row r="631" ht="13" customHeight="1" s="173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</row>
    <row r="632" ht="13" customHeight="1" s="173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</row>
    <row r="633" ht="13" customHeight="1" s="173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</row>
    <row r="634" ht="13" customHeight="1" s="173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</row>
    <row r="635" ht="13" customHeight="1" s="173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</row>
    <row r="636" ht="13" customHeight="1" s="173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</row>
    <row r="637" ht="13" customHeight="1" s="173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</row>
    <row r="638" ht="13" customHeight="1" s="173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</row>
    <row r="639" ht="13" customHeight="1" s="173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</row>
    <row r="640" ht="13" customHeight="1" s="173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</row>
    <row r="641" ht="13" customHeight="1" s="173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</row>
    <row r="642" ht="13" customHeight="1" s="173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</row>
    <row r="643" ht="13" customHeight="1" s="173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</row>
    <row r="644" ht="13" customHeight="1" s="173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</row>
    <row r="645" ht="13" customHeight="1" s="173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</row>
    <row r="646" ht="13" customHeight="1" s="173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</row>
    <row r="647" ht="13" customHeight="1" s="173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</row>
    <row r="648" ht="13" customHeight="1" s="173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</row>
    <row r="649" ht="13" customHeight="1" s="173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</row>
    <row r="650" ht="13" customHeight="1" s="173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</row>
    <row r="651" ht="13" customHeight="1" s="173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</row>
    <row r="652" ht="13" customHeight="1" s="173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</row>
    <row r="653" ht="13" customHeight="1" s="173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</row>
    <row r="654" ht="13" customHeight="1" s="173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</row>
    <row r="655" ht="13" customHeight="1" s="173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</row>
    <row r="656" ht="13" customHeight="1" s="173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</row>
    <row r="657" ht="13" customHeight="1" s="173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</row>
    <row r="658" ht="13" customHeight="1" s="173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</row>
    <row r="659" ht="13" customHeight="1" s="173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</row>
    <row r="660" ht="13" customHeight="1" s="173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</row>
    <row r="661" ht="13" customHeight="1" s="173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</row>
    <row r="662" ht="13" customHeight="1" s="173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</row>
    <row r="663" ht="13" customHeight="1" s="173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</row>
    <row r="664" ht="13" customHeight="1" s="173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</row>
    <row r="665" ht="13" customHeight="1" s="173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</row>
    <row r="666" ht="13" customHeight="1" s="173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</row>
    <row r="667" ht="13" customHeight="1" s="173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</row>
    <row r="668" ht="13" customHeight="1" s="173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</row>
    <row r="669" ht="13" customHeight="1" s="173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</row>
    <row r="670" ht="13" customHeight="1" s="173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</row>
    <row r="671" ht="13" customHeight="1" s="173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</row>
    <row r="672" ht="13" customHeight="1" s="173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</row>
    <row r="673" ht="13" customHeight="1" s="173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</row>
    <row r="674" ht="13" customHeight="1" s="173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</row>
    <row r="675" ht="13" customHeight="1" s="173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</row>
    <row r="676" ht="13" customHeight="1" s="173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</row>
    <row r="677" ht="13" customHeight="1" s="173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</row>
    <row r="678" ht="13" customHeight="1" s="173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</row>
    <row r="679" ht="13" customHeight="1" s="173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</row>
    <row r="680" ht="13" customHeight="1" s="173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</row>
    <row r="681" ht="13" customHeight="1" s="173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</row>
    <row r="682" ht="13" customHeight="1" s="173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</row>
    <row r="683" ht="13" customHeight="1" s="173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</row>
    <row r="684" ht="13" customHeight="1" s="173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</row>
    <row r="685" ht="13" customHeight="1" s="173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</row>
    <row r="686" ht="13" customHeight="1" s="173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</row>
    <row r="687" ht="13" customHeight="1" s="173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</row>
    <row r="688" ht="13" customHeight="1" s="173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</row>
    <row r="689" ht="13" customHeight="1" s="173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</row>
    <row r="690" ht="13" customHeight="1" s="173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</row>
    <row r="691" ht="13" customHeight="1" s="173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</row>
    <row r="692" ht="13" customHeight="1" s="173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</row>
    <row r="693" ht="13" customHeight="1" s="173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</row>
    <row r="694" ht="13" customHeight="1" s="173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</row>
    <row r="695" ht="13" customHeight="1" s="173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</row>
    <row r="696" ht="13" customHeight="1" s="173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</row>
    <row r="697" ht="13" customHeight="1" s="173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</row>
    <row r="698" ht="13" customHeight="1" s="173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</row>
    <row r="699" ht="13" customHeight="1" s="173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</row>
    <row r="700" ht="13" customHeight="1" s="173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</row>
    <row r="701" ht="13" customHeight="1" s="173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</row>
    <row r="702" ht="13" customHeight="1" s="173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</row>
    <row r="703" ht="13" customHeight="1" s="173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</row>
    <row r="704" ht="13" customHeight="1" s="173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</row>
    <row r="705" ht="13" customHeight="1" s="173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</row>
    <row r="706" ht="13" customHeight="1" s="173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</row>
    <row r="707" ht="13" customHeight="1" s="173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</row>
    <row r="708" ht="13" customHeight="1" s="173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</row>
    <row r="709" ht="13" customHeight="1" s="173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</row>
    <row r="710" ht="13" customHeight="1" s="173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</row>
    <row r="711" ht="13" customHeight="1" s="173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</row>
    <row r="712" ht="13" customHeight="1" s="173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</row>
    <row r="713" ht="13" customHeight="1" s="173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</row>
    <row r="714" ht="13" customHeight="1" s="173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</row>
    <row r="715" ht="13" customHeight="1" s="173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</row>
    <row r="716" ht="13" customHeight="1" s="173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</row>
    <row r="717" ht="13" customHeight="1" s="173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</row>
    <row r="718" ht="13" customHeight="1" s="173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</row>
    <row r="719" ht="13" customHeight="1" s="173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</row>
    <row r="720" ht="13" customHeight="1" s="173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</row>
    <row r="721" ht="13" customHeight="1" s="173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</row>
    <row r="722" ht="13" customHeight="1" s="173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</row>
    <row r="723" ht="13" customHeight="1" s="173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</row>
    <row r="724" ht="13" customHeight="1" s="173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</row>
    <row r="725" ht="13" customHeight="1" s="173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</row>
    <row r="726" ht="13" customHeight="1" s="173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</row>
    <row r="727" ht="13" customHeight="1" s="173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</row>
    <row r="728" ht="13" customHeight="1" s="173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</row>
    <row r="729" ht="13" customHeight="1" s="173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</row>
    <row r="730" ht="13" customHeight="1" s="173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</row>
    <row r="731" ht="13" customHeight="1" s="173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</row>
    <row r="732" ht="13" customHeight="1" s="173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</row>
    <row r="733" ht="13" customHeight="1" s="173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</row>
    <row r="734" ht="13" customHeight="1" s="173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</row>
    <row r="735" ht="13" customHeight="1" s="173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</row>
    <row r="736" ht="13" customHeight="1" s="173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</row>
    <row r="737" ht="13" customHeight="1" s="173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</row>
    <row r="738" ht="13" customHeight="1" s="173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</row>
    <row r="739" ht="13" customHeight="1" s="173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</row>
    <row r="740" ht="13" customHeight="1" s="173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</row>
    <row r="741" ht="13" customHeight="1" s="173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</row>
    <row r="742" ht="13" customHeight="1" s="173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</row>
    <row r="743" ht="13" customHeight="1" s="173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</row>
    <row r="744" ht="13" customHeight="1" s="173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</row>
    <row r="745" ht="13" customHeight="1" s="173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</row>
    <row r="746" ht="13" customHeight="1" s="173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</row>
    <row r="747" ht="13" customHeight="1" s="173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</row>
    <row r="748" ht="13" customHeight="1" s="173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</row>
    <row r="749" ht="13" customHeight="1" s="173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</row>
    <row r="750" ht="13" customHeight="1" s="173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</row>
    <row r="751" ht="13" customHeight="1" s="173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</row>
    <row r="752" ht="13" customHeight="1" s="173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</row>
    <row r="753" ht="13" customHeight="1" s="173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</row>
    <row r="754" ht="13" customHeight="1" s="173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</row>
    <row r="755" ht="13" customHeight="1" s="173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</row>
    <row r="756" ht="13" customHeight="1" s="173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</row>
    <row r="757" ht="13" customHeight="1" s="173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</row>
    <row r="758" ht="13" customHeight="1" s="173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</row>
    <row r="759" ht="13" customHeight="1" s="173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</row>
    <row r="760" ht="13" customHeight="1" s="173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</row>
    <row r="761" ht="13" customHeight="1" s="173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</row>
    <row r="762" ht="13" customHeight="1" s="173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</row>
    <row r="763" ht="13" customHeight="1" s="173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</row>
    <row r="764" ht="13" customHeight="1" s="173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</row>
    <row r="765" ht="13" customHeight="1" s="173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</row>
    <row r="766" ht="13" customHeight="1" s="173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</row>
    <row r="767" ht="13" customHeight="1" s="173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</row>
    <row r="768" ht="13" customHeight="1" s="173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</row>
    <row r="769" ht="13" customHeight="1" s="173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</row>
    <row r="770" ht="13" customHeight="1" s="173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</row>
    <row r="771" ht="13" customHeight="1" s="173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</row>
    <row r="772" ht="13" customHeight="1" s="173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</row>
    <row r="773" ht="13" customHeight="1" s="173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</row>
    <row r="774" ht="13" customHeight="1" s="173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</row>
    <row r="775" ht="13" customHeight="1" s="173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</row>
    <row r="776" ht="13" customHeight="1" s="173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</row>
    <row r="777" ht="13" customHeight="1" s="173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</row>
    <row r="778" ht="13" customHeight="1" s="173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</row>
    <row r="779" ht="13" customHeight="1" s="173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</row>
    <row r="780" ht="13" customHeight="1" s="173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</row>
    <row r="781" ht="13" customHeight="1" s="173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</row>
    <row r="782" ht="13" customHeight="1" s="173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</row>
    <row r="783" ht="13" customHeight="1" s="173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</row>
    <row r="784" ht="13" customHeight="1" s="173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</row>
    <row r="785" ht="13" customHeight="1" s="173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</row>
    <row r="786" ht="13" customHeight="1" s="173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</row>
    <row r="787" ht="13" customHeight="1" s="173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</row>
    <row r="788" ht="13" customHeight="1" s="173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</row>
    <row r="789" ht="13" customHeight="1" s="173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</row>
    <row r="790" ht="13" customHeight="1" s="173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</row>
    <row r="791" ht="13" customHeight="1" s="173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</row>
    <row r="792" ht="13" customHeight="1" s="173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</row>
    <row r="793" ht="13" customHeight="1" s="173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</row>
    <row r="794" ht="13" customHeight="1" s="173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</row>
    <row r="795" ht="13" customHeight="1" s="173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</row>
    <row r="796" ht="13" customHeight="1" s="173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</row>
    <row r="797" ht="13" customHeight="1" s="173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</row>
    <row r="798" ht="13" customHeight="1" s="173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</row>
    <row r="799" ht="13" customHeight="1" s="173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</row>
    <row r="800" ht="13" customHeight="1" s="173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</row>
    <row r="801" ht="13" customHeight="1" s="173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</row>
    <row r="802" ht="13" customHeight="1" s="173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</row>
    <row r="803" ht="13" customHeight="1" s="173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</row>
    <row r="804" ht="13" customHeight="1" s="173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</row>
    <row r="805" ht="13" customHeight="1" s="173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</row>
    <row r="806" ht="13" customHeight="1" s="173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</row>
    <row r="807" ht="13" customHeight="1" s="173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</row>
    <row r="808" ht="13" customHeight="1" s="173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</row>
    <row r="809" ht="13" customHeight="1" s="173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</row>
    <row r="810" ht="13" customHeight="1" s="173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</row>
    <row r="811" ht="13" customHeight="1" s="173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</row>
    <row r="812" ht="13" customHeight="1" s="173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</row>
    <row r="813" ht="13" customHeight="1" s="173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</row>
    <row r="814" ht="13" customHeight="1" s="173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</row>
    <row r="815" ht="13" customHeight="1" s="173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</row>
    <row r="816" ht="13" customHeight="1" s="173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</row>
    <row r="817" ht="13" customHeight="1" s="173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</row>
    <row r="818" ht="13" customHeight="1" s="173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</row>
    <row r="819" ht="13" customHeight="1" s="173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</row>
    <row r="820" ht="13" customHeight="1" s="173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</row>
    <row r="821" ht="13" customHeight="1" s="173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</row>
    <row r="822" ht="13" customHeight="1" s="173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</row>
    <row r="823" ht="13" customHeight="1" s="173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</row>
    <row r="824" ht="13" customHeight="1" s="173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</row>
    <row r="825" ht="13" customHeight="1" s="173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</row>
    <row r="826" ht="13" customHeight="1" s="173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</row>
    <row r="827" ht="13" customHeight="1" s="173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</row>
    <row r="828" ht="13" customHeight="1" s="173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</row>
    <row r="829" ht="13" customHeight="1" s="173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</row>
    <row r="830" ht="13" customHeight="1" s="173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</row>
    <row r="831" ht="13" customHeight="1" s="173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</row>
    <row r="832" ht="13" customHeight="1" s="173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</row>
    <row r="833" ht="13" customHeight="1" s="173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</row>
    <row r="834" ht="13" customHeight="1" s="173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</row>
    <row r="835" ht="13" customHeight="1" s="173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</row>
    <row r="836" ht="13" customHeight="1" s="173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</row>
    <row r="837" ht="13" customHeight="1" s="173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</row>
    <row r="838" ht="13" customHeight="1" s="173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</row>
    <row r="839" ht="13" customHeight="1" s="173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</row>
    <row r="840" ht="13" customHeight="1" s="173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</row>
    <row r="841" ht="13" customHeight="1" s="173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</row>
    <row r="842" ht="13" customHeight="1" s="173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</row>
    <row r="843" ht="13" customHeight="1" s="173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</row>
    <row r="844" ht="13" customHeight="1" s="173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</row>
    <row r="845" ht="13" customHeight="1" s="173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</row>
    <row r="846" ht="13" customHeight="1" s="173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</row>
    <row r="847" ht="13" customHeight="1" s="173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</row>
    <row r="848" ht="13" customHeight="1" s="173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</row>
    <row r="849" ht="13" customHeight="1" s="173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</row>
    <row r="850" ht="13" customHeight="1" s="173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</row>
    <row r="851" ht="13" customHeight="1" s="173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</row>
    <row r="852" ht="13" customHeight="1" s="173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</row>
    <row r="853" ht="13" customHeight="1" s="173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</row>
    <row r="854" ht="13" customHeight="1" s="173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</row>
    <row r="855" ht="13" customHeight="1" s="173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</row>
    <row r="856" ht="13" customHeight="1" s="173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</row>
    <row r="857" ht="13" customHeight="1" s="173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</row>
    <row r="858" ht="13" customHeight="1" s="173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</row>
    <row r="859" ht="13" customHeight="1" s="173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</row>
    <row r="860" ht="13" customHeight="1" s="173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</row>
    <row r="861" ht="13" customHeight="1" s="173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</row>
    <row r="862" ht="13" customHeight="1" s="173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</row>
    <row r="863" ht="13" customHeight="1" s="173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</row>
    <row r="864" ht="13" customHeight="1" s="173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</row>
    <row r="865" ht="13" customHeight="1" s="173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</row>
    <row r="866" ht="13" customHeight="1" s="173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</row>
    <row r="867" ht="13" customHeight="1" s="173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</row>
    <row r="868" ht="13" customHeight="1" s="173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</row>
    <row r="869" ht="13" customHeight="1" s="173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</row>
    <row r="870" ht="13" customHeight="1" s="173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</row>
    <row r="871" ht="13" customHeight="1" s="173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</row>
    <row r="872" ht="13" customHeight="1" s="173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</row>
    <row r="873" ht="13" customHeight="1" s="173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</row>
    <row r="874" ht="13" customHeight="1" s="173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</row>
    <row r="875" ht="13" customHeight="1" s="173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</row>
    <row r="876" ht="13" customHeight="1" s="173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</row>
    <row r="877" ht="13" customHeight="1" s="173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</row>
    <row r="878" ht="13" customHeight="1" s="173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</row>
    <row r="879" ht="13" customHeight="1" s="173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</row>
    <row r="880" ht="13" customHeight="1" s="173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</row>
    <row r="881" ht="13" customHeight="1" s="173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</row>
    <row r="882" ht="13" customHeight="1" s="173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</row>
    <row r="883" ht="13" customHeight="1" s="173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</row>
    <row r="884" ht="13" customHeight="1" s="173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</row>
    <row r="885" ht="13" customHeight="1" s="173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</row>
    <row r="886" ht="13" customHeight="1" s="173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</row>
    <row r="887" ht="13" customHeight="1" s="173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</row>
    <row r="888" ht="13" customHeight="1" s="173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</row>
    <row r="889" ht="13" customHeight="1" s="173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</row>
    <row r="890" ht="13" customHeight="1" s="173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</row>
    <row r="891" ht="13" customHeight="1" s="173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</row>
    <row r="892" ht="13" customHeight="1" s="173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</row>
    <row r="893" ht="13" customHeight="1" s="173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</row>
    <row r="894" ht="13" customHeight="1" s="173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</row>
    <row r="895" ht="13" customHeight="1" s="173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</row>
    <row r="896" ht="13" customHeight="1" s="173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</row>
    <row r="897" ht="13" customHeight="1" s="173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</row>
    <row r="898" ht="13" customHeight="1" s="173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</row>
    <row r="899" ht="13" customHeight="1" s="173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</row>
    <row r="900" ht="13" customHeight="1" s="173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</row>
    <row r="901" ht="13" customHeight="1" s="173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</row>
    <row r="902" ht="13" customHeight="1" s="173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</row>
    <row r="903" ht="13" customHeight="1" s="173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</row>
    <row r="904" ht="13" customHeight="1" s="173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</row>
    <row r="905" ht="13" customHeight="1" s="173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</row>
    <row r="906" ht="13" customHeight="1" s="173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</row>
    <row r="907" ht="13" customHeight="1" s="173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</row>
    <row r="908" ht="13" customHeight="1" s="173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</row>
    <row r="909" ht="13" customHeight="1" s="173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</row>
    <row r="910" ht="13" customHeight="1" s="173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</row>
    <row r="911" ht="13" customHeight="1" s="173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</row>
    <row r="912" ht="13" customHeight="1" s="173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</row>
    <row r="913" ht="13" customHeight="1" s="173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</row>
    <row r="914" ht="13" customHeight="1" s="173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</row>
    <row r="915" ht="13" customHeight="1" s="173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</row>
    <row r="916" ht="13" customHeight="1" s="173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</row>
    <row r="917" ht="13" customHeight="1" s="173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</row>
    <row r="918" ht="13" customHeight="1" s="173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</row>
    <row r="919" ht="13" customHeight="1" s="173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</row>
    <row r="920" ht="13" customHeight="1" s="173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</row>
    <row r="921" ht="13" customHeight="1" s="173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</row>
    <row r="922" ht="13" customHeight="1" s="173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</row>
    <row r="923" ht="13" customHeight="1" s="173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</row>
    <row r="924" ht="13" customHeight="1" s="173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</row>
    <row r="925" ht="13" customHeight="1" s="173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</row>
    <row r="926" ht="13" customHeight="1" s="173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</row>
    <row r="927" ht="13" customHeight="1" s="173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</row>
    <row r="928" ht="13" customHeight="1" s="173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</row>
    <row r="929" ht="13" customHeight="1" s="173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</row>
    <row r="930" ht="13" customHeight="1" s="173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</row>
    <row r="931" ht="13" customHeight="1" s="173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</row>
    <row r="932" ht="13" customHeight="1" s="173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</row>
    <row r="933" ht="13" customHeight="1" s="173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</row>
    <row r="934" ht="13" customHeight="1" s="173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</row>
    <row r="935" ht="13" customHeight="1" s="173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</row>
    <row r="936" ht="13" customHeight="1" s="173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</row>
    <row r="937" ht="13" customHeight="1" s="173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</row>
    <row r="938" ht="13" customHeight="1" s="173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</row>
    <row r="939" ht="13" customHeight="1" s="173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</row>
    <row r="940" ht="13" customHeight="1" s="173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</row>
    <row r="941" ht="13" customHeight="1" s="173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</row>
    <row r="942" ht="13" customHeight="1" s="173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</row>
    <row r="943" ht="13" customHeight="1" s="173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</row>
    <row r="944" ht="13" customHeight="1" s="173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</row>
    <row r="945" ht="13" customHeight="1" s="173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</row>
    <row r="946" ht="13" customHeight="1" s="173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</row>
    <row r="947" ht="13" customHeight="1" s="173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</row>
    <row r="948" ht="13" customHeight="1" s="173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</row>
    <row r="949" ht="13" customHeight="1" s="173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</row>
    <row r="950" ht="13" customHeight="1" s="173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</row>
    <row r="951" ht="13" customHeight="1" s="173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</row>
    <row r="952" ht="13" customHeight="1" s="173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</row>
    <row r="953" ht="13" customHeight="1" s="173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</row>
    <row r="954" ht="13" customHeight="1" s="173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</row>
    <row r="955" ht="13" customHeight="1" s="173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</row>
    <row r="956" ht="13" customHeight="1" s="173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</row>
    <row r="957" ht="13" customHeight="1" s="173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</row>
    <row r="958" ht="13" customHeight="1" s="173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</row>
    <row r="959" ht="13" customHeight="1" s="173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</row>
    <row r="960" ht="13" customHeight="1" s="173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</row>
    <row r="961" ht="13" customHeight="1" s="173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</row>
    <row r="962" ht="13" customHeight="1" s="173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</row>
    <row r="963" ht="13" customHeight="1" s="173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</row>
    <row r="964" ht="13" customHeight="1" s="173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</row>
    <row r="965" ht="13" customHeight="1" s="173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</row>
    <row r="966" ht="13" customHeight="1" s="173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</row>
    <row r="967" ht="13" customHeight="1" s="173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</row>
    <row r="968" ht="13" customHeight="1" s="173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</row>
    <row r="969" ht="13" customHeight="1" s="173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</row>
    <row r="970" ht="13" customHeight="1" s="173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</row>
    <row r="971" ht="13" customHeight="1" s="173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</row>
    <row r="972" ht="13" customHeight="1" s="173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</row>
    <row r="973" ht="13" customHeight="1" s="173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</row>
    <row r="974" ht="13" customHeight="1" s="173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</row>
    <row r="975" ht="13" customHeight="1" s="173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</row>
    <row r="976" ht="13" customHeight="1" s="173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</row>
    <row r="977" ht="13" customHeight="1" s="173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</row>
    <row r="978" ht="13" customHeight="1" s="173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</row>
    <row r="979" ht="13" customHeight="1" s="173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</row>
    <row r="980" ht="13" customHeight="1" s="173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</row>
    <row r="981" ht="13" customHeight="1" s="173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</row>
    <row r="982" ht="13" customHeight="1" s="173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</row>
    <row r="983" ht="13" customHeight="1" s="173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</row>
    <row r="984" ht="13" customHeight="1" s="173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</row>
    <row r="985" ht="13" customHeight="1" s="173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</row>
    <row r="986" ht="13" customHeight="1" s="173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</row>
    <row r="987" ht="13" customHeight="1" s="173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</row>
    <row r="988" ht="13" customHeight="1" s="173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</row>
    <row r="989" ht="13" customHeight="1" s="173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</row>
    <row r="990" ht="13" customHeight="1" s="173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</row>
    <row r="991" ht="13" customHeight="1" s="173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</row>
    <row r="992" ht="13" customHeight="1" s="173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</row>
    <row r="993" ht="13" customHeight="1" s="173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</row>
    <row r="994" ht="13" customHeight="1" s="173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</row>
    <row r="995" ht="13" customHeight="1" s="173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</row>
    <row r="996" ht="13" customHeight="1" s="173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</row>
    <row r="997" ht="13" customHeight="1" s="173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</row>
    <row r="998" ht="13" customHeight="1" s="173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</row>
    <row r="999" ht="13" customHeight="1" s="173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</row>
    <row r="1000" ht="13" customHeight="1" s="173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</row>
    <row r="1001" ht="13" customHeight="1" s="173">
      <c r="A1001" s="97" t="n"/>
      <c r="B1001" s="97" t="n"/>
      <c r="C1001" s="97" t="n"/>
      <c r="D1001" s="97" t="n"/>
      <c r="E1001" s="97" t="n"/>
      <c r="F1001" s="97" t="n"/>
      <c r="G1001" s="97" t="n"/>
      <c r="H1001" s="97" t="n"/>
      <c r="I1001" s="97" t="n"/>
      <c r="J1001" s="97" t="n"/>
      <c r="K1001" s="97" t="n"/>
      <c r="L1001" s="97" t="n"/>
      <c r="M1001" s="97" t="n"/>
      <c r="N1001" s="97" t="n"/>
      <c r="O1001" s="97" t="n"/>
      <c r="P1001" s="97" t="n"/>
      <c r="Q1001" s="97" t="n"/>
      <c r="R1001" s="97" t="n"/>
      <c r="S1001" s="97" t="n"/>
      <c r="T1001" s="97" t="n"/>
      <c r="U1001" s="97" t="n"/>
      <c r="V1001" s="97" t="n"/>
      <c r="W1001" s="97" t="n"/>
      <c r="X1001" s="97" t="n"/>
      <c r="Y1001" s="97" t="n"/>
      <c r="Z1001" s="97" t="n"/>
      <c r="AA1001" s="97" t="n"/>
      <c r="AB1001" s="97" t="n"/>
      <c r="AC1001" s="97" t="n"/>
      <c r="AD1001" s="97" t="n"/>
    </row>
    <row r="1002" ht="13" customHeight="1" s="173">
      <c r="A1002" s="97" t="n"/>
      <c r="B1002" s="97" t="n"/>
      <c r="C1002" s="97" t="n"/>
      <c r="D1002" s="97" t="n"/>
      <c r="E1002" s="97" t="n"/>
      <c r="F1002" s="97" t="n"/>
      <c r="G1002" s="97" t="n"/>
      <c r="H1002" s="97" t="n"/>
      <c r="I1002" s="97" t="n"/>
      <c r="J1002" s="97" t="n"/>
      <c r="K1002" s="97" t="n"/>
      <c r="L1002" s="97" t="n"/>
      <c r="M1002" s="97" t="n"/>
      <c r="N1002" s="97" t="n"/>
      <c r="O1002" s="97" t="n"/>
      <c r="P1002" s="97" t="n"/>
      <c r="Q1002" s="97" t="n"/>
      <c r="R1002" s="97" t="n"/>
      <c r="S1002" s="97" t="n"/>
      <c r="T1002" s="97" t="n"/>
      <c r="U1002" s="97" t="n"/>
      <c r="V1002" s="97" t="n"/>
      <c r="W1002" s="97" t="n"/>
      <c r="X1002" s="97" t="n"/>
      <c r="Y1002" s="97" t="n"/>
      <c r="Z1002" s="97" t="n"/>
      <c r="AA1002" s="97" t="n"/>
      <c r="AB1002" s="97" t="n"/>
      <c r="AC1002" s="97" t="n"/>
      <c r="AD1002" s="97" t="n"/>
    </row>
    <row r="1003" ht="13" customHeight="1" s="173">
      <c r="A1003" s="97" t="n"/>
      <c r="B1003" s="97" t="n"/>
      <c r="C1003" s="97" t="n"/>
      <c r="D1003" s="97" t="n"/>
      <c r="E1003" s="97" t="n"/>
      <c r="F1003" s="97" t="n"/>
      <c r="G1003" s="97" t="n"/>
      <c r="H1003" s="97" t="n"/>
      <c r="I1003" s="97" t="n"/>
      <c r="J1003" s="97" t="n"/>
      <c r="K1003" s="97" t="n"/>
      <c r="L1003" s="97" t="n"/>
      <c r="M1003" s="97" t="n"/>
      <c r="N1003" s="97" t="n"/>
      <c r="O1003" s="97" t="n"/>
      <c r="P1003" s="97" t="n"/>
      <c r="Q1003" s="97" t="n"/>
      <c r="R1003" s="97" t="n"/>
      <c r="S1003" s="97" t="n"/>
      <c r="T1003" s="97" t="n"/>
      <c r="U1003" s="97" t="n"/>
      <c r="V1003" s="97" t="n"/>
      <c r="W1003" s="97" t="n"/>
      <c r="X1003" s="97" t="n"/>
      <c r="Y1003" s="97" t="n"/>
      <c r="Z1003" s="97" t="n"/>
      <c r="AA1003" s="97" t="n"/>
      <c r="AB1003" s="97" t="n"/>
      <c r="AC1003" s="97" t="n"/>
      <c r="AD1003" s="97" t="n"/>
    </row>
    <row r="1004" ht="13" customHeight="1" s="173">
      <c r="A1004" s="97" t="n"/>
      <c r="B1004" s="97" t="n"/>
      <c r="C1004" s="97" t="n"/>
      <c r="D1004" s="97" t="n"/>
      <c r="E1004" s="97" t="n"/>
      <c r="F1004" s="97" t="n"/>
      <c r="G1004" s="97" t="n"/>
      <c r="H1004" s="97" t="n"/>
      <c r="I1004" s="97" t="n"/>
      <c r="J1004" s="97" t="n"/>
      <c r="K1004" s="97" t="n"/>
      <c r="L1004" s="97" t="n"/>
      <c r="M1004" s="97" t="n"/>
      <c r="N1004" s="97" t="n"/>
      <c r="O1004" s="97" t="n"/>
      <c r="P1004" s="97" t="n"/>
      <c r="Q1004" s="97" t="n"/>
      <c r="R1004" s="97" t="n"/>
      <c r="S1004" s="97" t="n"/>
      <c r="T1004" s="97" t="n"/>
      <c r="U1004" s="97" t="n"/>
      <c r="V1004" s="97" t="n"/>
      <c r="W1004" s="97" t="n"/>
      <c r="X1004" s="97" t="n"/>
      <c r="Y1004" s="97" t="n"/>
      <c r="Z1004" s="97" t="n"/>
      <c r="AA1004" s="97" t="n"/>
      <c r="AB1004" s="97" t="n"/>
      <c r="AC1004" s="97" t="n"/>
      <c r="AD1004" s="97" t="n"/>
    </row>
    <row r="1005" ht="13" customHeight="1" s="173">
      <c r="A1005" s="97" t="n"/>
      <c r="B1005" s="97" t="n"/>
      <c r="C1005" s="97" t="n"/>
      <c r="D1005" s="97" t="n"/>
      <c r="E1005" s="97" t="n"/>
      <c r="F1005" s="97" t="n"/>
      <c r="G1005" s="97" t="n"/>
      <c r="H1005" s="97" t="n"/>
      <c r="I1005" s="97" t="n"/>
      <c r="J1005" s="97" t="n"/>
      <c r="K1005" s="97" t="n"/>
      <c r="L1005" s="97" t="n"/>
      <c r="M1005" s="97" t="n"/>
      <c r="N1005" s="97" t="n"/>
      <c r="O1005" s="97" t="n"/>
      <c r="P1005" s="97" t="n"/>
      <c r="Q1005" s="97" t="n"/>
      <c r="R1005" s="97" t="n"/>
      <c r="S1005" s="97" t="n"/>
      <c r="T1005" s="97" t="n"/>
      <c r="U1005" s="97" t="n"/>
      <c r="V1005" s="97" t="n"/>
      <c r="W1005" s="97" t="n"/>
      <c r="X1005" s="97" t="n"/>
      <c r="Y1005" s="97" t="n"/>
      <c r="Z1005" s="97" t="n"/>
      <c r="AA1005" s="97" t="n"/>
      <c r="AB1005" s="97" t="n"/>
      <c r="AC1005" s="97" t="n"/>
      <c r="AD1005" s="97" t="n"/>
    </row>
    <row r="1006" ht="13" customHeight="1" s="173">
      <c r="A1006" s="97" t="n"/>
      <c r="B1006" s="97" t="n"/>
      <c r="C1006" s="97" t="n"/>
      <c r="D1006" s="97" t="n"/>
      <c r="E1006" s="97" t="n"/>
      <c r="F1006" s="97" t="n"/>
      <c r="G1006" s="97" t="n"/>
      <c r="H1006" s="97" t="n"/>
      <c r="I1006" s="97" t="n"/>
      <c r="J1006" s="97" t="n"/>
      <c r="K1006" s="97" t="n"/>
      <c r="L1006" s="97" t="n"/>
      <c r="M1006" s="97" t="n"/>
      <c r="N1006" s="97" t="n"/>
      <c r="O1006" s="97" t="n"/>
      <c r="P1006" s="97" t="n"/>
      <c r="Q1006" s="97" t="n"/>
      <c r="R1006" s="97" t="n"/>
      <c r="S1006" s="97" t="n"/>
      <c r="T1006" s="97" t="n"/>
      <c r="U1006" s="97" t="n"/>
      <c r="V1006" s="97" t="n"/>
      <c r="W1006" s="97" t="n"/>
      <c r="X1006" s="97" t="n"/>
      <c r="Y1006" s="97" t="n"/>
      <c r="Z1006" s="97" t="n"/>
      <c r="AA1006" s="97" t="n"/>
      <c r="AB1006" s="97" t="n"/>
      <c r="AC1006" s="97" t="n"/>
      <c r="AD1006" s="97" t="n"/>
    </row>
    <row r="1007" ht="13" customHeight="1" s="173">
      <c r="A1007" s="97" t="n"/>
      <c r="B1007" s="97" t="n"/>
      <c r="C1007" s="97" t="n"/>
      <c r="D1007" s="97" t="n"/>
      <c r="E1007" s="97" t="n"/>
      <c r="F1007" s="97" t="n"/>
      <c r="G1007" s="97" t="n"/>
      <c r="H1007" s="97" t="n"/>
      <c r="I1007" s="97" t="n"/>
      <c r="J1007" s="97" t="n"/>
      <c r="K1007" s="97" t="n"/>
      <c r="L1007" s="97" t="n"/>
      <c r="M1007" s="97" t="n"/>
      <c r="N1007" s="97" t="n"/>
      <c r="O1007" s="97" t="n"/>
      <c r="P1007" s="97" t="n"/>
      <c r="Q1007" s="97" t="n"/>
      <c r="R1007" s="97" t="n"/>
      <c r="S1007" s="97" t="n"/>
      <c r="T1007" s="97" t="n"/>
      <c r="U1007" s="97" t="n"/>
      <c r="V1007" s="97" t="n"/>
      <c r="W1007" s="97" t="n"/>
      <c r="X1007" s="97" t="n"/>
      <c r="Y1007" s="97" t="n"/>
      <c r="Z1007" s="97" t="n"/>
      <c r="AA1007" s="97" t="n"/>
      <c r="AB1007" s="97" t="n"/>
      <c r="AC1007" s="97" t="n"/>
      <c r="AD1007" s="97" t="n"/>
    </row>
    <row r="1008" ht="13" customHeight="1" s="173">
      <c r="A1008" s="97" t="n"/>
      <c r="B1008" s="97" t="n"/>
      <c r="C1008" s="97" t="n"/>
      <c r="D1008" s="97" t="n"/>
      <c r="E1008" s="97" t="n"/>
      <c r="F1008" s="97" t="n"/>
      <c r="G1008" s="97" t="n"/>
      <c r="H1008" s="97" t="n"/>
      <c r="I1008" s="97" t="n"/>
      <c r="J1008" s="97" t="n"/>
      <c r="K1008" s="97" t="n"/>
      <c r="L1008" s="97" t="n"/>
      <c r="M1008" s="97" t="n"/>
      <c r="N1008" s="97" t="n"/>
      <c r="O1008" s="97" t="n"/>
      <c r="P1008" s="97" t="n"/>
      <c r="Q1008" s="97" t="n"/>
      <c r="R1008" s="97" t="n"/>
      <c r="S1008" s="97" t="n"/>
      <c r="T1008" s="97" t="n"/>
      <c r="U1008" s="97" t="n"/>
      <c r="V1008" s="97" t="n"/>
      <c r="W1008" s="97" t="n"/>
      <c r="X1008" s="97" t="n"/>
      <c r="Y1008" s="97" t="n"/>
      <c r="Z1008" s="97" t="n"/>
      <c r="AA1008" s="97" t="n"/>
      <c r="AB1008" s="97" t="n"/>
      <c r="AC1008" s="97" t="n"/>
      <c r="AD1008" s="97" t="n"/>
    </row>
    <row r="1009" ht="13" customHeight="1" s="173">
      <c r="A1009" s="97" t="n"/>
      <c r="B1009" s="97" t="n"/>
      <c r="C1009" s="97" t="n"/>
      <c r="D1009" s="97" t="n"/>
      <c r="E1009" s="97" t="n"/>
      <c r="F1009" s="97" t="n"/>
      <c r="G1009" s="97" t="n"/>
      <c r="H1009" s="97" t="n"/>
      <c r="I1009" s="97" t="n"/>
      <c r="J1009" s="97" t="n"/>
      <c r="K1009" s="97" t="n"/>
      <c r="L1009" s="97" t="n"/>
      <c r="M1009" s="97" t="n"/>
      <c r="N1009" s="97" t="n"/>
      <c r="O1009" s="97" t="n"/>
      <c r="P1009" s="97" t="n"/>
      <c r="Q1009" s="97" t="n"/>
      <c r="R1009" s="97" t="n"/>
      <c r="S1009" s="97" t="n"/>
      <c r="T1009" s="97" t="n"/>
      <c r="U1009" s="97" t="n"/>
      <c r="V1009" s="97" t="n"/>
      <c r="W1009" s="97" t="n"/>
      <c r="X1009" s="97" t="n"/>
      <c r="Y1009" s="97" t="n"/>
      <c r="Z1009" s="97" t="n"/>
      <c r="AA1009" s="97" t="n"/>
      <c r="AB1009" s="97" t="n"/>
      <c r="AC1009" s="97" t="n"/>
      <c r="AD1009" s="97" t="n"/>
    </row>
    <row r="1010" ht="13" customHeight="1" s="173">
      <c r="A1010" s="97" t="n"/>
      <c r="B1010" s="97" t="n"/>
      <c r="C1010" s="97" t="n"/>
      <c r="D1010" s="97" t="n"/>
      <c r="E1010" s="97" t="n"/>
      <c r="F1010" s="97" t="n"/>
      <c r="G1010" s="97" t="n"/>
      <c r="H1010" s="97" t="n"/>
      <c r="I1010" s="97" t="n"/>
      <c r="J1010" s="97" t="n"/>
      <c r="K1010" s="97" t="n"/>
      <c r="L1010" s="97" t="n"/>
      <c r="M1010" s="97" t="n"/>
      <c r="N1010" s="97" t="n"/>
      <c r="O1010" s="97" t="n"/>
      <c r="P1010" s="97" t="n"/>
      <c r="Q1010" s="97" t="n"/>
      <c r="R1010" s="97" t="n"/>
      <c r="S1010" s="97" t="n"/>
      <c r="T1010" s="97" t="n"/>
      <c r="U1010" s="97" t="n"/>
      <c r="V1010" s="97" t="n"/>
      <c r="W1010" s="97" t="n"/>
      <c r="X1010" s="97" t="n"/>
      <c r="Y1010" s="97" t="n"/>
      <c r="Z1010" s="97" t="n"/>
      <c r="AA1010" s="97" t="n"/>
      <c r="AB1010" s="97" t="n"/>
      <c r="AC1010" s="97" t="n"/>
      <c r="AD1010" s="97" t="n"/>
    </row>
    <row r="1011" ht="13" customHeight="1" s="173">
      <c r="A1011" s="97" t="n"/>
      <c r="B1011" s="97" t="n"/>
      <c r="C1011" s="97" t="n"/>
      <c r="D1011" s="97" t="n"/>
      <c r="E1011" s="97" t="n"/>
      <c r="F1011" s="97" t="n"/>
      <c r="G1011" s="97" t="n"/>
      <c r="H1011" s="97" t="n"/>
      <c r="I1011" s="97" t="n"/>
      <c r="J1011" s="97" t="n"/>
      <c r="K1011" s="97" t="n"/>
      <c r="L1011" s="97" t="n"/>
      <c r="M1011" s="97" t="n"/>
      <c r="N1011" s="97" t="n"/>
      <c r="O1011" s="97" t="n"/>
      <c r="P1011" s="97" t="n"/>
      <c r="Q1011" s="97" t="n"/>
      <c r="R1011" s="97" t="n"/>
      <c r="S1011" s="97" t="n"/>
      <c r="T1011" s="97" t="n"/>
      <c r="U1011" s="97" t="n"/>
      <c r="V1011" s="97" t="n"/>
      <c r="W1011" s="97" t="n"/>
      <c r="X1011" s="97" t="n"/>
      <c r="Y1011" s="97" t="n"/>
      <c r="Z1011" s="97" t="n"/>
      <c r="AA1011" s="97" t="n"/>
      <c r="AB1011" s="97" t="n"/>
      <c r="AC1011" s="97" t="n"/>
      <c r="AD1011" s="97" t="n"/>
    </row>
    <row r="1012" ht="13" customHeight="1" s="173">
      <c r="A1012" s="97" t="n"/>
      <c r="B1012" s="97" t="n"/>
      <c r="C1012" s="97" t="n"/>
      <c r="D1012" s="97" t="n"/>
      <c r="E1012" s="97" t="n"/>
      <c r="F1012" s="97" t="n"/>
      <c r="G1012" s="97" t="n"/>
      <c r="H1012" s="97" t="n"/>
      <c r="I1012" s="97" t="n"/>
      <c r="J1012" s="97" t="n"/>
      <c r="K1012" s="97" t="n"/>
      <c r="L1012" s="97" t="n"/>
      <c r="M1012" s="97" t="n"/>
      <c r="N1012" s="97" t="n"/>
      <c r="O1012" s="97" t="n"/>
      <c r="P1012" s="97" t="n"/>
      <c r="Q1012" s="97" t="n"/>
      <c r="R1012" s="97" t="n"/>
      <c r="S1012" s="97" t="n"/>
      <c r="T1012" s="97" t="n"/>
      <c r="U1012" s="97" t="n"/>
      <c r="V1012" s="97" t="n"/>
      <c r="W1012" s="97" t="n"/>
      <c r="X1012" s="97" t="n"/>
      <c r="Y1012" s="97" t="n"/>
      <c r="Z1012" s="97" t="n"/>
      <c r="AA1012" s="97" t="n"/>
      <c r="AB1012" s="97" t="n"/>
      <c r="AC1012" s="97" t="n"/>
      <c r="AD1012" s="97" t="n"/>
    </row>
    <row r="1013" ht="13" customHeight="1" s="173">
      <c r="A1013" s="97" t="n"/>
      <c r="B1013" s="97" t="n"/>
      <c r="C1013" s="97" t="n"/>
      <c r="D1013" s="97" t="n"/>
      <c r="E1013" s="97" t="n"/>
      <c r="F1013" s="97" t="n"/>
      <c r="G1013" s="97" t="n"/>
      <c r="H1013" s="97" t="n"/>
      <c r="I1013" s="97" t="n"/>
      <c r="J1013" s="97" t="n"/>
      <c r="K1013" s="97" t="n"/>
      <c r="L1013" s="97" t="n"/>
      <c r="M1013" s="97" t="n"/>
      <c r="N1013" s="97" t="n"/>
      <c r="O1013" s="97" t="n"/>
      <c r="P1013" s="97" t="n"/>
      <c r="Q1013" s="97" t="n"/>
      <c r="R1013" s="97" t="n"/>
      <c r="S1013" s="97" t="n"/>
      <c r="T1013" s="97" t="n"/>
      <c r="U1013" s="97" t="n"/>
      <c r="V1013" s="97" t="n"/>
      <c r="W1013" s="97" t="n"/>
      <c r="X1013" s="97" t="n"/>
      <c r="Y1013" s="97" t="n"/>
      <c r="Z1013" s="97" t="n"/>
      <c r="AA1013" s="97" t="n"/>
      <c r="AB1013" s="97" t="n"/>
      <c r="AC1013" s="97" t="n"/>
      <c r="AD1013" s="97" t="n"/>
    </row>
    <row r="1014" ht="13" customHeight="1" s="173">
      <c r="A1014" s="97" t="n"/>
      <c r="B1014" s="97" t="n"/>
      <c r="C1014" s="97" t="n"/>
      <c r="D1014" s="97" t="n"/>
      <c r="E1014" s="97" t="n"/>
      <c r="F1014" s="97" t="n"/>
      <c r="G1014" s="97" t="n"/>
      <c r="H1014" s="97" t="n"/>
      <c r="I1014" s="97" t="n"/>
      <c r="J1014" s="97" t="n"/>
      <c r="K1014" s="97" t="n"/>
      <c r="L1014" s="97" t="n"/>
      <c r="M1014" s="97" t="n"/>
      <c r="N1014" s="97" t="n"/>
      <c r="O1014" s="97" t="n"/>
      <c r="P1014" s="97" t="n"/>
      <c r="Q1014" s="97" t="n"/>
      <c r="R1014" s="97" t="n"/>
      <c r="S1014" s="97" t="n"/>
      <c r="T1014" s="97" t="n"/>
      <c r="U1014" s="97" t="n"/>
      <c r="V1014" s="97" t="n"/>
      <c r="W1014" s="97" t="n"/>
      <c r="X1014" s="97" t="n"/>
      <c r="Y1014" s="97" t="n"/>
      <c r="Z1014" s="97" t="n"/>
      <c r="AA1014" s="97" t="n"/>
      <c r="AB1014" s="97" t="n"/>
      <c r="AC1014" s="97" t="n"/>
      <c r="AD1014" s="97" t="n"/>
    </row>
    <row r="1015" ht="13" customHeight="1" s="173">
      <c r="A1015" s="97" t="n"/>
      <c r="B1015" s="97" t="n"/>
      <c r="C1015" s="97" t="n"/>
      <c r="D1015" s="97" t="n"/>
      <c r="E1015" s="97" t="n"/>
      <c r="F1015" s="97" t="n"/>
      <c r="G1015" s="97" t="n"/>
      <c r="H1015" s="97" t="n"/>
      <c r="I1015" s="97" t="n"/>
      <c r="J1015" s="97" t="n"/>
      <c r="K1015" s="97" t="n"/>
      <c r="L1015" s="97" t="n"/>
      <c r="M1015" s="97" t="n"/>
      <c r="N1015" s="97" t="n"/>
      <c r="O1015" s="97" t="n"/>
      <c r="P1015" s="97" t="n"/>
      <c r="Q1015" s="97" t="n"/>
      <c r="R1015" s="97" t="n"/>
      <c r="S1015" s="97" t="n"/>
      <c r="T1015" s="97" t="n"/>
      <c r="U1015" s="97" t="n"/>
      <c r="V1015" s="97" t="n"/>
      <c r="W1015" s="97" t="n"/>
      <c r="X1015" s="97" t="n"/>
      <c r="Y1015" s="97" t="n"/>
      <c r="Z1015" s="97" t="n"/>
      <c r="AA1015" s="97" t="n"/>
      <c r="AB1015" s="97" t="n"/>
      <c r="AC1015" s="97" t="n"/>
      <c r="AD1015" s="97" t="n"/>
    </row>
    <row r="1016" ht="13" customHeight="1" s="173">
      <c r="A1016" s="97" t="n"/>
      <c r="B1016" s="97" t="n"/>
      <c r="C1016" s="97" t="n"/>
      <c r="D1016" s="97" t="n"/>
      <c r="E1016" s="97" t="n"/>
      <c r="F1016" s="97" t="n"/>
      <c r="G1016" s="97" t="n"/>
      <c r="H1016" s="97" t="n"/>
      <c r="I1016" s="97" t="n"/>
      <c r="J1016" s="97" t="n"/>
      <c r="K1016" s="97" t="n"/>
      <c r="L1016" s="97" t="n"/>
      <c r="M1016" s="97" t="n"/>
      <c r="N1016" s="97" t="n"/>
      <c r="O1016" s="97" t="n"/>
      <c r="P1016" s="97" t="n"/>
      <c r="Q1016" s="97" t="n"/>
      <c r="R1016" s="97" t="n"/>
      <c r="S1016" s="97" t="n"/>
      <c r="T1016" s="97" t="n"/>
      <c r="U1016" s="97" t="n"/>
      <c r="V1016" s="97" t="n"/>
      <c r="W1016" s="97" t="n"/>
      <c r="X1016" s="97" t="n"/>
      <c r="Y1016" s="97" t="n"/>
      <c r="Z1016" s="97" t="n"/>
      <c r="AA1016" s="97" t="n"/>
      <c r="AB1016" s="97" t="n"/>
      <c r="AC1016" s="97" t="n"/>
      <c r="AD1016" s="97" t="n"/>
    </row>
    <row r="1017" ht="13" customHeight="1" s="173">
      <c r="A1017" s="97" t="n"/>
      <c r="B1017" s="97" t="n"/>
      <c r="C1017" s="97" t="n"/>
      <c r="D1017" s="97" t="n"/>
      <c r="E1017" s="97" t="n"/>
      <c r="F1017" s="97" t="n"/>
      <c r="G1017" s="97" t="n"/>
      <c r="H1017" s="97" t="n"/>
      <c r="I1017" s="97" t="n"/>
      <c r="J1017" s="97" t="n"/>
      <c r="K1017" s="97" t="n"/>
      <c r="L1017" s="97" t="n"/>
      <c r="M1017" s="97" t="n"/>
      <c r="N1017" s="97" t="n"/>
      <c r="O1017" s="97" t="n"/>
      <c r="P1017" s="97" t="n"/>
      <c r="Q1017" s="97" t="n"/>
      <c r="R1017" s="97" t="n"/>
      <c r="S1017" s="97" t="n"/>
      <c r="T1017" s="97" t="n"/>
      <c r="U1017" s="97" t="n"/>
      <c r="V1017" s="97" t="n"/>
      <c r="W1017" s="97" t="n"/>
      <c r="X1017" s="97" t="n"/>
      <c r="Y1017" s="97" t="n"/>
      <c r="Z1017" s="97" t="n"/>
      <c r="AA1017" s="97" t="n"/>
      <c r="AB1017" s="97" t="n"/>
      <c r="AC1017" s="97" t="n"/>
      <c r="AD1017" s="97" t="n"/>
    </row>
    <row r="1018" ht="13" customHeight="1" s="173">
      <c r="A1018" s="97" t="n"/>
      <c r="B1018" s="97" t="n"/>
      <c r="C1018" s="97" t="n"/>
      <c r="D1018" s="97" t="n"/>
      <c r="E1018" s="97" t="n"/>
      <c r="F1018" s="97" t="n"/>
      <c r="G1018" s="97" t="n"/>
      <c r="H1018" s="97" t="n"/>
      <c r="I1018" s="97" t="n"/>
      <c r="J1018" s="97" t="n"/>
      <c r="K1018" s="97" t="n"/>
      <c r="L1018" s="97" t="n"/>
      <c r="M1018" s="97" t="n"/>
      <c r="N1018" s="97" t="n"/>
      <c r="O1018" s="97" t="n"/>
      <c r="P1018" s="97" t="n"/>
      <c r="Q1018" s="97" t="n"/>
      <c r="R1018" s="97" t="n"/>
      <c r="S1018" s="97" t="n"/>
      <c r="T1018" s="97" t="n"/>
      <c r="U1018" s="97" t="n"/>
      <c r="V1018" s="97" t="n"/>
      <c r="W1018" s="97" t="n"/>
      <c r="X1018" s="97" t="n"/>
      <c r="Y1018" s="97" t="n"/>
      <c r="Z1018" s="97" t="n"/>
      <c r="AA1018" s="97" t="n"/>
      <c r="AB1018" s="97" t="n"/>
      <c r="AC1018" s="97" t="n"/>
      <c r="AD1018" s="97" t="n"/>
    </row>
    <row r="1019" ht="13" customHeight="1" s="173">
      <c r="A1019" s="97" t="n"/>
      <c r="B1019" s="97" t="n"/>
      <c r="C1019" s="97" t="n"/>
      <c r="D1019" s="97" t="n"/>
      <c r="E1019" s="97" t="n"/>
      <c r="F1019" s="97" t="n"/>
      <c r="G1019" s="97" t="n"/>
      <c r="H1019" s="97" t="n"/>
      <c r="I1019" s="97" t="n"/>
      <c r="J1019" s="97" t="n"/>
      <c r="K1019" s="97" t="n"/>
      <c r="L1019" s="97" t="n"/>
      <c r="M1019" s="97" t="n"/>
      <c r="N1019" s="97" t="n"/>
      <c r="O1019" s="97" t="n"/>
      <c r="P1019" s="97" t="n"/>
      <c r="Q1019" s="97" t="n"/>
      <c r="R1019" s="97" t="n"/>
      <c r="S1019" s="97" t="n"/>
      <c r="T1019" s="97" t="n"/>
      <c r="U1019" s="97" t="n"/>
      <c r="V1019" s="97" t="n"/>
      <c r="W1019" s="97" t="n"/>
      <c r="X1019" s="97" t="n"/>
      <c r="Y1019" s="97" t="n"/>
      <c r="Z1019" s="97" t="n"/>
      <c r="AA1019" s="97" t="n"/>
      <c r="AB1019" s="97" t="n"/>
      <c r="AC1019" s="97" t="n"/>
      <c r="AD1019" s="97" t="n"/>
    </row>
    <row r="1020" ht="13" customHeight="1" s="173">
      <c r="A1020" s="97" t="n"/>
      <c r="B1020" s="97" t="n"/>
      <c r="C1020" s="97" t="n"/>
      <c r="D1020" s="97" t="n"/>
      <c r="E1020" s="97" t="n"/>
      <c r="F1020" s="97" t="n"/>
      <c r="G1020" s="97" t="n"/>
      <c r="H1020" s="97" t="n"/>
      <c r="I1020" s="97" t="n"/>
      <c r="J1020" s="97" t="n"/>
      <c r="K1020" s="97" t="n"/>
      <c r="L1020" s="97" t="n"/>
      <c r="M1020" s="97" t="n"/>
      <c r="N1020" s="97" t="n"/>
      <c r="O1020" s="97" t="n"/>
      <c r="P1020" s="97" t="n"/>
      <c r="Q1020" s="97" t="n"/>
      <c r="R1020" s="97" t="n"/>
      <c r="S1020" s="97" t="n"/>
      <c r="T1020" s="97" t="n"/>
      <c r="U1020" s="97" t="n"/>
      <c r="V1020" s="97" t="n"/>
      <c r="W1020" s="97" t="n"/>
      <c r="X1020" s="97" t="n"/>
      <c r="Y1020" s="97" t="n"/>
      <c r="Z1020" s="97" t="n"/>
      <c r="AA1020" s="97" t="n"/>
      <c r="AB1020" s="97" t="n"/>
      <c r="AC1020" s="97" t="n"/>
      <c r="AD1020" s="97" t="n"/>
    </row>
    <row r="1021" ht="13" customHeight="1" s="173">
      <c r="A1021" s="97" t="n"/>
      <c r="B1021" s="97" t="n"/>
      <c r="C1021" s="97" t="n"/>
      <c r="D1021" s="97" t="n"/>
      <c r="E1021" s="97" t="n"/>
      <c r="F1021" s="97" t="n"/>
      <c r="G1021" s="97" t="n"/>
      <c r="H1021" s="97" t="n"/>
      <c r="I1021" s="97" t="n"/>
      <c r="J1021" s="97" t="n"/>
      <c r="K1021" s="97" t="n"/>
      <c r="L1021" s="97" t="n"/>
      <c r="M1021" s="97" t="n"/>
      <c r="N1021" s="97" t="n"/>
      <c r="O1021" s="97" t="n"/>
      <c r="P1021" s="97" t="n"/>
      <c r="Q1021" s="97" t="n"/>
      <c r="R1021" s="97" t="n"/>
      <c r="S1021" s="97" t="n"/>
      <c r="T1021" s="97" t="n"/>
      <c r="U1021" s="97" t="n"/>
      <c r="V1021" s="97" t="n"/>
      <c r="W1021" s="97" t="n"/>
      <c r="X1021" s="97" t="n"/>
      <c r="Y1021" s="97" t="n"/>
      <c r="Z1021" s="97" t="n"/>
      <c r="AA1021" s="97" t="n"/>
      <c r="AB1021" s="97" t="n"/>
      <c r="AC1021" s="97" t="n"/>
      <c r="AD1021" s="97" t="n"/>
    </row>
    <row r="1022" ht="13" customHeight="1" s="173">
      <c r="A1022" s="97" t="n"/>
      <c r="B1022" s="97" t="n"/>
      <c r="C1022" s="97" t="n"/>
      <c r="D1022" s="97" t="n"/>
      <c r="E1022" s="97" t="n"/>
      <c r="F1022" s="97" t="n"/>
      <c r="G1022" s="97" t="n"/>
      <c r="H1022" s="97" t="n"/>
      <c r="I1022" s="97" t="n"/>
      <c r="J1022" s="97" t="n"/>
      <c r="K1022" s="97" t="n"/>
      <c r="L1022" s="97" t="n"/>
      <c r="M1022" s="97" t="n"/>
      <c r="N1022" s="97" t="n"/>
      <c r="O1022" s="97" t="n"/>
      <c r="P1022" s="97" t="n"/>
      <c r="Q1022" s="97" t="n"/>
      <c r="R1022" s="97" t="n"/>
      <c r="S1022" s="97" t="n"/>
      <c r="T1022" s="97" t="n"/>
      <c r="U1022" s="97" t="n"/>
      <c r="V1022" s="97" t="n"/>
      <c r="W1022" s="97" t="n"/>
      <c r="X1022" s="97" t="n"/>
      <c r="Y1022" s="97" t="n"/>
      <c r="Z1022" s="97" t="n"/>
      <c r="AA1022" s="97" t="n"/>
      <c r="AB1022" s="97" t="n"/>
      <c r="AC1022" s="97" t="n"/>
      <c r="AD1022" s="97" t="n"/>
    </row>
    <row r="1023" ht="13" customHeight="1" s="173">
      <c r="A1023" s="97" t="n"/>
      <c r="B1023" s="97" t="n"/>
      <c r="C1023" s="97" t="n"/>
      <c r="D1023" s="97" t="n"/>
      <c r="E1023" s="97" t="n"/>
      <c r="F1023" s="97" t="n"/>
      <c r="G1023" s="97" t="n"/>
      <c r="H1023" s="97" t="n"/>
      <c r="I1023" s="97" t="n"/>
      <c r="J1023" s="97" t="n"/>
      <c r="K1023" s="97" t="n"/>
      <c r="L1023" s="97" t="n"/>
      <c r="M1023" s="97" t="n"/>
      <c r="N1023" s="97" t="n"/>
      <c r="O1023" s="97" t="n"/>
      <c r="P1023" s="97" t="n"/>
      <c r="Q1023" s="97" t="n"/>
      <c r="R1023" s="97" t="n"/>
      <c r="S1023" s="97" t="n"/>
      <c r="T1023" s="97" t="n"/>
      <c r="U1023" s="97" t="n"/>
      <c r="V1023" s="97" t="n"/>
      <c r="W1023" s="97" t="n"/>
      <c r="X1023" s="97" t="n"/>
      <c r="Y1023" s="97" t="n"/>
      <c r="Z1023" s="97" t="n"/>
      <c r="AA1023" s="97" t="n"/>
      <c r="AB1023" s="97" t="n"/>
      <c r="AC1023" s="97" t="n"/>
      <c r="AD1023" s="97" t="n"/>
    </row>
    <row r="1024" ht="13" customHeight="1" s="173">
      <c r="A1024" s="97" t="n"/>
      <c r="B1024" s="97" t="n"/>
      <c r="C1024" s="97" t="n"/>
      <c r="D1024" s="97" t="n"/>
      <c r="E1024" s="97" t="n"/>
      <c r="F1024" s="97" t="n"/>
      <c r="G1024" s="97" t="n"/>
      <c r="H1024" s="97" t="n"/>
      <c r="I1024" s="97" t="n"/>
      <c r="J1024" s="97" t="n"/>
      <c r="K1024" s="97" t="n"/>
      <c r="L1024" s="97" t="n"/>
      <c r="M1024" s="97" t="n"/>
      <c r="N1024" s="97" t="n"/>
      <c r="O1024" s="97" t="n"/>
      <c r="P1024" s="97" t="n"/>
      <c r="Q1024" s="97" t="n"/>
      <c r="R1024" s="97" t="n"/>
      <c r="S1024" s="97" t="n"/>
      <c r="T1024" s="97" t="n"/>
      <c r="U1024" s="97" t="n"/>
      <c r="V1024" s="97" t="n"/>
      <c r="W1024" s="97" t="n"/>
      <c r="X1024" s="97" t="n"/>
      <c r="Y1024" s="97" t="n"/>
      <c r="Z1024" s="97" t="n"/>
      <c r="AA1024" s="97" t="n"/>
      <c r="AB1024" s="97" t="n"/>
      <c r="AC1024" s="97" t="n"/>
      <c r="AD1024" s="97" t="n"/>
    </row>
    <row r="1025" ht="13" customHeight="1" s="173">
      <c r="A1025" s="97" t="n"/>
      <c r="B1025" s="97" t="n"/>
      <c r="C1025" s="97" t="n"/>
      <c r="D1025" s="97" t="n"/>
      <c r="E1025" s="97" t="n"/>
      <c r="F1025" s="97" t="n"/>
      <c r="G1025" s="97" t="n"/>
      <c r="H1025" s="97" t="n"/>
      <c r="I1025" s="97" t="n"/>
      <c r="J1025" s="97" t="n"/>
      <c r="K1025" s="97" t="n"/>
      <c r="L1025" s="97" t="n"/>
      <c r="M1025" s="97" t="n"/>
      <c r="N1025" s="97" t="n"/>
      <c r="O1025" s="97" t="n"/>
      <c r="P1025" s="97" t="n"/>
      <c r="Q1025" s="97" t="n"/>
      <c r="R1025" s="97" t="n"/>
      <c r="S1025" s="97" t="n"/>
      <c r="T1025" s="97" t="n"/>
      <c r="U1025" s="97" t="n"/>
      <c r="V1025" s="97" t="n"/>
      <c r="W1025" s="97" t="n"/>
      <c r="X1025" s="97" t="n"/>
      <c r="Y1025" s="97" t="n"/>
      <c r="Z1025" s="97" t="n"/>
      <c r="AA1025" s="97" t="n"/>
      <c r="AB1025" s="97" t="n"/>
      <c r="AC1025" s="97" t="n"/>
      <c r="AD1025" s="97" t="n"/>
    </row>
    <row r="1026" ht="13" customHeight="1" s="173">
      <c r="A1026" s="97" t="n"/>
      <c r="B1026" s="97" t="n"/>
      <c r="C1026" s="97" t="n"/>
      <c r="D1026" s="97" t="n"/>
      <c r="E1026" s="97" t="n"/>
      <c r="F1026" s="97" t="n"/>
      <c r="G1026" s="97" t="n"/>
      <c r="H1026" s="97" t="n"/>
      <c r="I1026" s="97" t="n"/>
      <c r="J1026" s="97" t="n"/>
      <c r="K1026" s="97" t="n"/>
      <c r="L1026" s="97" t="n"/>
      <c r="M1026" s="97" t="n"/>
      <c r="N1026" s="97" t="n"/>
      <c r="O1026" s="97" t="n"/>
      <c r="P1026" s="97" t="n"/>
      <c r="Q1026" s="97" t="n"/>
      <c r="R1026" s="97" t="n"/>
      <c r="S1026" s="97" t="n"/>
      <c r="T1026" s="97" t="n"/>
      <c r="U1026" s="97" t="n"/>
      <c r="V1026" s="97" t="n"/>
      <c r="W1026" s="97" t="n"/>
      <c r="X1026" s="97" t="n"/>
      <c r="Y1026" s="97" t="n"/>
      <c r="Z1026" s="97" t="n"/>
      <c r="AA1026" s="97" t="n"/>
      <c r="AB1026" s="97" t="n"/>
      <c r="AC1026" s="97" t="n"/>
      <c r="AD1026" s="97" t="n"/>
    </row>
    <row r="1027" ht="13" customHeight="1" s="173">
      <c r="A1027" s="97" t="n"/>
      <c r="B1027" s="97" t="n"/>
      <c r="C1027" s="97" t="n"/>
      <c r="D1027" s="97" t="n"/>
      <c r="E1027" s="97" t="n"/>
      <c r="F1027" s="97" t="n"/>
      <c r="G1027" s="97" t="n"/>
      <c r="H1027" s="97" t="n"/>
      <c r="I1027" s="97" t="n"/>
      <c r="J1027" s="97" t="n"/>
      <c r="K1027" s="97" t="n"/>
      <c r="L1027" s="97" t="n"/>
      <c r="M1027" s="97" t="n"/>
      <c r="N1027" s="97" t="n"/>
      <c r="O1027" s="97" t="n"/>
      <c r="P1027" s="97" t="n"/>
      <c r="Q1027" s="97" t="n"/>
      <c r="R1027" s="97" t="n"/>
      <c r="S1027" s="97" t="n"/>
      <c r="T1027" s="97" t="n"/>
      <c r="U1027" s="97" t="n"/>
      <c r="V1027" s="97" t="n"/>
      <c r="W1027" s="97" t="n"/>
      <c r="X1027" s="97" t="n"/>
      <c r="Y1027" s="97" t="n"/>
      <c r="Z1027" s="97" t="n"/>
      <c r="AA1027" s="97" t="n"/>
      <c r="AB1027" s="97" t="n"/>
      <c r="AC1027" s="97" t="n"/>
      <c r="AD1027" s="97" t="n"/>
    </row>
    <row r="1028" ht="13" customHeight="1" s="173">
      <c r="A1028" s="97" t="n"/>
      <c r="B1028" s="97" t="n"/>
      <c r="C1028" s="97" t="n"/>
      <c r="D1028" s="97" t="n"/>
      <c r="E1028" s="97" t="n"/>
      <c r="F1028" s="97" t="n"/>
      <c r="G1028" s="97" t="n"/>
      <c r="H1028" s="97" t="n"/>
      <c r="I1028" s="97" t="n"/>
      <c r="J1028" s="97" t="n"/>
      <c r="K1028" s="97" t="n"/>
      <c r="L1028" s="97" t="n"/>
      <c r="M1028" s="97" t="n"/>
      <c r="N1028" s="97" t="n"/>
      <c r="O1028" s="97" t="n"/>
      <c r="P1028" s="97" t="n"/>
      <c r="Q1028" s="97" t="n"/>
      <c r="R1028" s="97" t="n"/>
      <c r="S1028" s="97" t="n"/>
      <c r="T1028" s="97" t="n"/>
      <c r="U1028" s="97" t="n"/>
      <c r="V1028" s="97" t="n"/>
      <c r="W1028" s="97" t="n"/>
      <c r="X1028" s="97" t="n"/>
      <c r="Y1028" s="97" t="n"/>
      <c r="Z1028" s="97" t="n"/>
      <c r="AA1028" s="97" t="n"/>
      <c r="AB1028" s="97" t="n"/>
      <c r="AC1028" s="97" t="n"/>
      <c r="AD1028" s="97" t="n"/>
    </row>
    <row r="1029" ht="13" customHeight="1" s="173">
      <c r="A1029" s="97" t="n"/>
      <c r="B1029" s="97" t="n"/>
      <c r="C1029" s="97" t="n"/>
      <c r="D1029" s="97" t="n"/>
      <c r="E1029" s="97" t="n"/>
      <c r="F1029" s="97" t="n"/>
      <c r="G1029" s="97" t="n"/>
      <c r="H1029" s="97" t="n"/>
      <c r="I1029" s="97" t="n"/>
      <c r="J1029" s="97" t="n"/>
      <c r="K1029" s="97" t="n"/>
      <c r="L1029" s="97" t="n"/>
      <c r="M1029" s="97" t="n"/>
      <c r="N1029" s="97" t="n"/>
      <c r="O1029" s="97" t="n"/>
      <c r="P1029" s="97" t="n"/>
      <c r="Q1029" s="97" t="n"/>
      <c r="R1029" s="97" t="n"/>
      <c r="S1029" s="97" t="n"/>
      <c r="T1029" s="97" t="n"/>
      <c r="U1029" s="97" t="n"/>
      <c r="V1029" s="97" t="n"/>
      <c r="W1029" s="97" t="n"/>
      <c r="X1029" s="97" t="n"/>
      <c r="Y1029" s="97" t="n"/>
      <c r="Z1029" s="97" t="n"/>
      <c r="AA1029" s="97" t="n"/>
      <c r="AB1029" s="97" t="n"/>
      <c r="AC1029" s="97" t="n"/>
      <c r="AD1029" s="97" t="n"/>
    </row>
    <row r="1030" ht="13" customHeight="1" s="173">
      <c r="A1030" s="97" t="n"/>
      <c r="B1030" s="97" t="n"/>
      <c r="C1030" s="97" t="n"/>
      <c r="D1030" s="97" t="n"/>
      <c r="E1030" s="97" t="n"/>
      <c r="F1030" s="97" t="n"/>
      <c r="G1030" s="97" t="n"/>
      <c r="H1030" s="97" t="n"/>
      <c r="I1030" s="97" t="n"/>
      <c r="J1030" s="97" t="n"/>
      <c r="K1030" s="97" t="n"/>
      <c r="L1030" s="97" t="n"/>
      <c r="M1030" s="97" t="n"/>
      <c r="N1030" s="97" t="n"/>
      <c r="O1030" s="97" t="n"/>
      <c r="P1030" s="97" t="n"/>
      <c r="Q1030" s="97" t="n"/>
      <c r="R1030" s="97" t="n"/>
      <c r="S1030" s="97" t="n"/>
      <c r="T1030" s="97" t="n"/>
      <c r="U1030" s="97" t="n"/>
      <c r="V1030" s="97" t="n"/>
      <c r="W1030" s="97" t="n"/>
      <c r="X1030" s="97" t="n"/>
      <c r="Y1030" s="97" t="n"/>
      <c r="Z1030" s="97" t="n"/>
      <c r="AA1030" s="97" t="n"/>
      <c r="AB1030" s="97" t="n"/>
      <c r="AC1030" s="97" t="n"/>
      <c r="AD1030" s="97" t="n"/>
    </row>
    <row r="1031" ht="13" customHeight="1" s="173">
      <c r="A1031" s="97" t="n"/>
      <c r="B1031" s="97" t="n"/>
      <c r="C1031" s="97" t="n"/>
      <c r="D1031" s="97" t="n"/>
      <c r="E1031" s="97" t="n"/>
      <c r="F1031" s="97" t="n"/>
      <c r="G1031" s="97" t="n"/>
      <c r="H1031" s="97" t="n"/>
      <c r="I1031" s="97" t="n"/>
      <c r="J1031" s="97" t="n"/>
      <c r="K1031" s="97" t="n"/>
      <c r="L1031" s="97" t="n"/>
      <c r="M1031" s="97" t="n"/>
      <c r="N1031" s="97" t="n"/>
      <c r="O1031" s="97" t="n"/>
      <c r="P1031" s="97" t="n"/>
      <c r="Q1031" s="97" t="n"/>
      <c r="R1031" s="97" t="n"/>
      <c r="S1031" s="97" t="n"/>
      <c r="T1031" s="97" t="n"/>
      <c r="U1031" s="97" t="n"/>
      <c r="V1031" s="97" t="n"/>
      <c r="W1031" s="97" t="n"/>
      <c r="X1031" s="97" t="n"/>
      <c r="Y1031" s="97" t="n"/>
      <c r="Z1031" s="97" t="n"/>
      <c r="AA1031" s="97" t="n"/>
      <c r="AB1031" s="97" t="n"/>
      <c r="AC1031" s="97" t="n"/>
      <c r="AD1031" s="97" t="n"/>
    </row>
    <row r="1032" ht="13" customHeight="1" s="173">
      <c r="A1032" s="97" t="n"/>
      <c r="B1032" s="97" t="n"/>
      <c r="C1032" s="97" t="n"/>
      <c r="D1032" s="97" t="n"/>
      <c r="E1032" s="97" t="n"/>
      <c r="F1032" s="97" t="n"/>
      <c r="G1032" s="97" t="n"/>
      <c r="H1032" s="97" t="n"/>
      <c r="I1032" s="97" t="n"/>
      <c r="J1032" s="97" t="n"/>
      <c r="K1032" s="97" t="n"/>
      <c r="L1032" s="97" t="n"/>
      <c r="M1032" s="97" t="n"/>
      <c r="N1032" s="97" t="n"/>
      <c r="O1032" s="97" t="n"/>
      <c r="P1032" s="97" t="n"/>
      <c r="Q1032" s="97" t="n"/>
      <c r="R1032" s="97" t="n"/>
      <c r="S1032" s="97" t="n"/>
      <c r="T1032" s="97" t="n"/>
      <c r="U1032" s="97" t="n"/>
      <c r="V1032" s="97" t="n"/>
      <c r="W1032" s="97" t="n"/>
      <c r="X1032" s="97" t="n"/>
      <c r="Y1032" s="97" t="n"/>
      <c r="Z1032" s="97" t="n"/>
      <c r="AA1032" s="97" t="n"/>
      <c r="AB1032" s="97" t="n"/>
      <c r="AC1032" s="97" t="n"/>
      <c r="AD1032" s="97" t="n"/>
    </row>
    <row r="1033" ht="13" customHeight="1" s="173">
      <c r="A1033" s="97" t="n"/>
      <c r="B1033" s="97" t="n"/>
      <c r="C1033" s="97" t="n"/>
      <c r="D1033" s="97" t="n"/>
      <c r="E1033" s="97" t="n"/>
      <c r="F1033" s="97" t="n"/>
      <c r="G1033" s="97" t="n"/>
      <c r="H1033" s="97" t="n"/>
      <c r="I1033" s="97" t="n"/>
      <c r="J1033" s="97" t="n"/>
      <c r="K1033" s="97" t="n"/>
      <c r="L1033" s="97" t="n"/>
      <c r="M1033" s="97" t="n"/>
      <c r="N1033" s="97" t="n"/>
      <c r="O1033" s="97" t="n"/>
      <c r="P1033" s="97" t="n"/>
      <c r="Q1033" s="97" t="n"/>
      <c r="R1033" s="97" t="n"/>
      <c r="S1033" s="97" t="n"/>
      <c r="T1033" s="97" t="n"/>
      <c r="U1033" s="97" t="n"/>
      <c r="V1033" s="97" t="n"/>
      <c r="W1033" s="97" t="n"/>
      <c r="X1033" s="97" t="n"/>
      <c r="Y1033" s="97" t="n"/>
      <c r="Z1033" s="97" t="n"/>
      <c r="AA1033" s="97" t="n"/>
      <c r="AB1033" s="97" t="n"/>
      <c r="AC1033" s="97" t="n"/>
      <c r="AD1033" s="97" t="n"/>
    </row>
    <row r="1034" ht="13" customHeight="1" s="173">
      <c r="A1034" s="97" t="n"/>
      <c r="B1034" s="97" t="n"/>
      <c r="C1034" s="97" t="n"/>
      <c r="D1034" s="97" t="n"/>
      <c r="E1034" s="97" t="n"/>
      <c r="F1034" s="97" t="n"/>
      <c r="G1034" s="97" t="n"/>
      <c r="H1034" s="97" t="n"/>
      <c r="I1034" s="97" t="n"/>
      <c r="J1034" s="97" t="n"/>
      <c r="K1034" s="97" t="n"/>
      <c r="L1034" s="97" t="n"/>
      <c r="M1034" s="97" t="n"/>
      <c r="N1034" s="97" t="n"/>
      <c r="O1034" s="97" t="n"/>
      <c r="P1034" s="97" t="n"/>
      <c r="Q1034" s="97" t="n"/>
      <c r="R1034" s="97" t="n"/>
      <c r="S1034" s="97" t="n"/>
      <c r="T1034" s="97" t="n"/>
      <c r="U1034" s="97" t="n"/>
      <c r="V1034" s="97" t="n"/>
      <c r="W1034" s="97" t="n"/>
      <c r="X1034" s="97" t="n"/>
      <c r="Y1034" s="97" t="n"/>
      <c r="Z1034" s="97" t="n"/>
      <c r="AA1034" s="97" t="n"/>
      <c r="AB1034" s="97" t="n"/>
      <c r="AC1034" s="97" t="n"/>
      <c r="AD1034" s="97" t="n"/>
    </row>
    <row r="1035" ht="13" customHeight="1" s="173">
      <c r="A1035" s="97" t="n"/>
      <c r="B1035" s="97" t="n"/>
      <c r="C1035" s="97" t="n"/>
      <c r="D1035" s="97" t="n"/>
      <c r="E1035" s="97" t="n"/>
      <c r="F1035" s="97" t="n"/>
      <c r="G1035" s="97" t="n"/>
      <c r="H1035" s="97" t="n"/>
      <c r="I1035" s="97" t="n"/>
      <c r="J1035" s="97" t="n"/>
      <c r="K1035" s="97" t="n"/>
      <c r="L1035" s="97" t="n"/>
      <c r="M1035" s="97" t="n"/>
      <c r="N1035" s="97" t="n"/>
      <c r="O1035" s="97" t="n"/>
      <c r="P1035" s="97" t="n"/>
      <c r="Q1035" s="97" t="n"/>
      <c r="R1035" s="97" t="n"/>
      <c r="S1035" s="97" t="n"/>
      <c r="T1035" s="97" t="n"/>
      <c r="U1035" s="97" t="n"/>
      <c r="V1035" s="97" t="n"/>
      <c r="W1035" s="97" t="n"/>
      <c r="X1035" s="97" t="n"/>
      <c r="Y1035" s="97" t="n"/>
      <c r="Z1035" s="97" t="n"/>
      <c r="AA1035" s="97" t="n"/>
      <c r="AB1035" s="97" t="n"/>
      <c r="AC1035" s="97" t="n"/>
      <c r="AD1035" s="97" t="n"/>
    </row>
    <row r="1036" ht="13" customHeight="1" s="173">
      <c r="A1036" s="97" t="n"/>
      <c r="B1036" s="97" t="n"/>
      <c r="C1036" s="97" t="n"/>
      <c r="D1036" s="97" t="n"/>
      <c r="E1036" s="97" t="n"/>
      <c r="F1036" s="97" t="n"/>
      <c r="G1036" s="97" t="n"/>
      <c r="H1036" s="97" t="n"/>
      <c r="I1036" s="97" t="n"/>
      <c r="J1036" s="97" t="n"/>
      <c r="K1036" s="97" t="n"/>
      <c r="L1036" s="97" t="n"/>
      <c r="M1036" s="97" t="n"/>
      <c r="N1036" s="97" t="n"/>
      <c r="O1036" s="97" t="n"/>
      <c r="P1036" s="97" t="n"/>
      <c r="Q1036" s="97" t="n"/>
      <c r="R1036" s="97" t="n"/>
      <c r="S1036" s="97" t="n"/>
      <c r="T1036" s="97" t="n"/>
      <c r="U1036" s="97" t="n"/>
      <c r="V1036" s="97" t="n"/>
      <c r="W1036" s="97" t="n"/>
      <c r="X1036" s="97" t="n"/>
      <c r="Y1036" s="97" t="n"/>
      <c r="Z1036" s="97" t="n"/>
      <c r="AA1036" s="97" t="n"/>
      <c r="AB1036" s="97" t="n"/>
      <c r="AC1036" s="97" t="n"/>
      <c r="AD1036" s="97" t="n"/>
    </row>
    <row r="1037" ht="13" customHeight="1" s="173">
      <c r="A1037" s="97" t="n"/>
      <c r="B1037" s="97" t="n"/>
      <c r="C1037" s="97" t="n"/>
      <c r="D1037" s="97" t="n"/>
      <c r="E1037" s="97" t="n"/>
      <c r="F1037" s="97" t="n"/>
      <c r="G1037" s="97" t="n"/>
      <c r="H1037" s="97" t="n"/>
      <c r="I1037" s="97" t="n"/>
      <c r="J1037" s="97" t="n"/>
      <c r="K1037" s="97" t="n"/>
      <c r="L1037" s="97" t="n"/>
      <c r="M1037" s="97" t="n"/>
      <c r="N1037" s="97" t="n"/>
      <c r="O1037" s="97" t="n"/>
      <c r="P1037" s="97" t="n"/>
      <c r="Q1037" s="97" t="n"/>
      <c r="R1037" s="97" t="n"/>
      <c r="S1037" s="97" t="n"/>
      <c r="T1037" s="97" t="n"/>
      <c r="U1037" s="97" t="n"/>
      <c r="V1037" s="97" t="n"/>
      <c r="W1037" s="97" t="n"/>
      <c r="X1037" s="97" t="n"/>
      <c r="Y1037" s="97" t="n"/>
      <c r="Z1037" s="97" t="n"/>
      <c r="AA1037" s="97" t="n"/>
      <c r="AB1037" s="97" t="n"/>
      <c r="AC1037" s="97" t="n"/>
      <c r="AD1037" s="97" t="n"/>
    </row>
    <row r="1038" ht="13" customHeight="1" s="173">
      <c r="A1038" s="97" t="n"/>
      <c r="B1038" s="97" t="n"/>
      <c r="C1038" s="97" t="n"/>
      <c r="D1038" s="97" t="n"/>
      <c r="E1038" s="97" t="n"/>
      <c r="F1038" s="97" t="n"/>
      <c r="G1038" s="97" t="n"/>
      <c r="H1038" s="97" t="n"/>
      <c r="I1038" s="97" t="n"/>
      <c r="J1038" s="97" t="n"/>
      <c r="K1038" s="97" t="n"/>
      <c r="L1038" s="97" t="n"/>
      <c r="M1038" s="97" t="n"/>
      <c r="N1038" s="97" t="n"/>
      <c r="O1038" s="97" t="n"/>
      <c r="P1038" s="97" t="n"/>
      <c r="Q1038" s="97" t="n"/>
      <c r="R1038" s="97" t="n"/>
      <c r="S1038" s="97" t="n"/>
      <c r="T1038" s="97" t="n"/>
      <c r="U1038" s="97" t="n"/>
      <c r="V1038" s="97" t="n"/>
      <c r="W1038" s="97" t="n"/>
      <c r="X1038" s="97" t="n"/>
      <c r="Y1038" s="97" t="n"/>
      <c r="Z1038" s="97" t="n"/>
      <c r="AA1038" s="97" t="n"/>
      <c r="AB1038" s="97" t="n"/>
      <c r="AC1038" s="97" t="n"/>
      <c r="AD1038" s="97" t="n"/>
    </row>
  </sheetData>
  <mergeCells count="23">
    <mergeCell ref="C13:C20"/>
    <mergeCell ref="B32:B37"/>
    <mergeCell ref="B3:I3"/>
    <mergeCell ref="C37:I37"/>
    <mergeCell ref="C35:C36"/>
    <mergeCell ref="D22:K26"/>
    <mergeCell ref="C22:C25"/>
    <mergeCell ref="B39:I39"/>
    <mergeCell ref="B43:B50"/>
    <mergeCell ref="C47:C50"/>
    <mergeCell ref="C34:I34"/>
    <mergeCell ref="B6:B7"/>
    <mergeCell ref="B8:I8"/>
    <mergeCell ref="C43:C46"/>
    <mergeCell ref="B38:I38"/>
    <mergeCell ref="B13:B31"/>
    <mergeCell ref="B10:I10"/>
    <mergeCell ref="C32:C33"/>
    <mergeCell ref="K19:K20"/>
    <mergeCell ref="C31:I31"/>
    <mergeCell ref="C21:I21"/>
    <mergeCell ref="C6:C7"/>
    <mergeCell ref="B41:I41"/>
  </mergeCells>
  <hyperlinks>
    <hyperlink xmlns:r="http://schemas.openxmlformats.org/officeDocument/2006/relationships" ref="B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9CB9C"/>
    <outlinePr summaryBelow="0" summaryRight="0"/>
    <pageSetUpPr/>
  </sheetPr>
  <dimension ref="A2:J36"/>
  <sheetViews>
    <sheetView workbookViewId="0">
      <selection activeCell="A1" sqref="A1"/>
    </sheetView>
  </sheetViews>
  <sheetFormatPr baseColWidth="10" defaultColWidth="12.6640625" defaultRowHeight="15.75" customHeight="1"/>
  <cols>
    <col width="3.6640625" customWidth="1" style="173" min="1" max="1"/>
    <col width="18.6640625" customWidth="1" style="173" min="3" max="3"/>
    <col width="14.5" customWidth="1" style="173" min="4" max="5"/>
    <col width="40.6640625" customWidth="1" style="173" min="8" max="8"/>
  </cols>
  <sheetData>
    <row r="2" ht="15.75" customHeight="1" s="173">
      <c r="A2" s="73" t="inlineStr">
        <is>
          <t xml:space="preserve"> </t>
        </is>
      </c>
      <c r="B2" s="183" t="inlineStr">
        <is>
          <t>순당포착 현재 산출물 세트 (캐러셀1+숏폼2) 기준 세트 단가 총액 = ₩2,700,000</t>
        </is>
      </c>
    </row>
    <row r="3" ht="15.75" customHeight="1" s="173">
      <c r="B3" s="182" t="inlineStr">
        <is>
          <t>*인당 시간당 단가 ₩50,000 적용</t>
        </is>
      </c>
      <c r="D3" s="74" t="n"/>
      <c r="E3" s="74" t="n"/>
      <c r="F3" s="74" t="n"/>
      <c r="G3" s="74" t="n"/>
      <c r="H3" s="74" t="n"/>
    </row>
    <row r="4" ht="15.75" customHeight="1" s="173">
      <c r="B4" s="75" t="n"/>
      <c r="C4" s="74" t="n"/>
      <c r="D4" s="74" t="n"/>
      <c r="E4" s="74" t="n"/>
      <c r="F4" s="74" t="n"/>
      <c r="G4" s="74" t="n"/>
      <c r="H4" s="74" t="n"/>
    </row>
    <row r="5" ht="15.75" customHeight="1" s="173">
      <c r="B5" s="76" t="inlineStr">
        <is>
          <t>대분류</t>
        </is>
      </c>
      <c r="C5" s="76" t="inlineStr">
        <is>
          <t>항목</t>
        </is>
      </c>
      <c r="D5" s="76" t="inlineStr">
        <is>
          <t>인원</t>
        </is>
      </c>
      <c r="E5" s="76" t="inlineStr">
        <is>
          <t>시간</t>
        </is>
      </c>
      <c r="F5" s="76" t="inlineStr">
        <is>
          <t>M/H</t>
        </is>
      </c>
      <c r="G5" s="76" t="inlineStr">
        <is>
          <t>단가(₩)</t>
        </is>
      </c>
      <c r="H5" s="76" t="inlineStr">
        <is>
          <t>비고</t>
        </is>
      </c>
    </row>
    <row r="6" ht="15.75" customHeight="1" s="173">
      <c r="B6" s="80" t="inlineStr">
        <is>
          <t>기획</t>
        </is>
      </c>
      <c r="C6" s="80" t="inlineStr">
        <is>
          <t>인터뷰 및 해당 촬영 기획</t>
        </is>
      </c>
      <c r="D6" s="78" t="n">
        <v>1</v>
      </c>
      <c r="E6" s="78" t="n">
        <v>4</v>
      </c>
      <c r="F6" s="78">
        <f>D6*E6</f>
        <v/>
      </c>
      <c r="G6" s="227">
        <f>50000*F6</f>
        <v/>
      </c>
      <c r="H6" s="80" t="inlineStr">
        <is>
          <t>답사 후 인터뷰지 구성, 촬영기획, 레퍼런스 탐색, 캐릭터 기획</t>
        </is>
      </c>
    </row>
    <row r="7" ht="15.75" customHeight="1" s="173">
      <c r="B7" s="80" t="inlineStr">
        <is>
          <t>기획</t>
        </is>
      </c>
      <c r="C7" s="80" t="inlineStr">
        <is>
          <t>답사</t>
        </is>
      </c>
      <c r="D7" s="78" t="n">
        <v>1</v>
      </c>
      <c r="E7" s="78" t="n">
        <v>3</v>
      </c>
      <c r="F7" s="78">
        <f>D7*E7</f>
        <v/>
      </c>
      <c r="G7" s="227">
        <f>50000*F7</f>
        <v/>
      </c>
      <c r="H7" s="80" t="n"/>
    </row>
    <row r="8" ht="15.75" customHeight="1" s="173">
      <c r="B8" s="80" t="inlineStr">
        <is>
          <t>촬영</t>
        </is>
      </c>
      <c r="C8" s="80" t="inlineStr">
        <is>
          <t>촬영</t>
        </is>
      </c>
      <c r="D8" s="78" t="n">
        <v>2</v>
      </c>
      <c r="E8" s="78" t="n">
        <v>6</v>
      </c>
      <c r="F8" s="78">
        <f>D8*E8</f>
        <v/>
      </c>
      <c r="G8" s="227">
        <f>50000*F8</f>
        <v/>
      </c>
      <c r="H8" s="80" t="inlineStr">
        <is>
          <t>2인 투입(영상1+사진1), 준비1h+실내4h+주변1h</t>
        </is>
      </c>
    </row>
    <row r="9" ht="15.75" customHeight="1" s="173">
      <c r="B9" s="80" t="inlineStr">
        <is>
          <t>캐러셀 편집</t>
        </is>
      </c>
      <c r="C9" s="80" t="inlineStr">
        <is>
          <t>사진 보정</t>
        </is>
      </c>
      <c r="D9" s="78" t="n">
        <v>1</v>
      </c>
      <c r="E9" s="78" t="n">
        <v>3</v>
      </c>
      <c r="F9" s="78">
        <f>D9*E9</f>
        <v/>
      </c>
      <c r="G9" s="227">
        <f>50000*F9</f>
        <v/>
      </c>
      <c r="H9" s="80" t="inlineStr">
        <is>
          <t>피드용 화보 컷 보정</t>
        </is>
      </c>
    </row>
    <row r="10" ht="15.75" customHeight="1" s="173">
      <c r="B10" s="80" t="inlineStr">
        <is>
          <t>캐러셀 편집</t>
        </is>
      </c>
      <c r="C10" s="80" t="inlineStr">
        <is>
          <t>캐러셀 디자인·편집</t>
        </is>
      </c>
      <c r="D10" s="78" t="n">
        <v>1</v>
      </c>
      <c r="E10" s="78" t="n">
        <v>4</v>
      </c>
      <c r="F10" s="78">
        <f>D10*E10</f>
        <v/>
      </c>
      <c r="G10" s="227">
        <f>50000*F10</f>
        <v/>
      </c>
      <c r="H10" s="80" t="n"/>
    </row>
    <row r="11" ht="15.75" customHeight="1" s="173">
      <c r="B11" s="80" t="inlineStr">
        <is>
          <t>영상 편집</t>
        </is>
      </c>
      <c r="C11" s="80" t="inlineStr">
        <is>
          <t>숏폼 산출물 기획 (전체)</t>
        </is>
      </c>
      <c r="D11" s="78" t="n">
        <v>3</v>
      </c>
      <c r="E11" s="78" t="n">
        <v>2</v>
      </c>
      <c r="F11" s="78">
        <f>D11*E11</f>
        <v/>
      </c>
      <c r="G11" s="227">
        <f>50000*F11</f>
        <v/>
      </c>
      <c r="H11" s="80" t="inlineStr">
        <is>
          <t>전체기획미팅, 상세레퍼런스 서치</t>
        </is>
      </c>
    </row>
    <row r="12" ht="15.75" customHeight="1" s="173">
      <c r="B12" s="80" t="inlineStr">
        <is>
          <t>영상 편집</t>
        </is>
      </c>
      <c r="C12" s="80" t="inlineStr">
        <is>
          <t>숏폼#1 기획+편집</t>
        </is>
      </c>
      <c r="D12" s="78" t="n">
        <v>1</v>
      </c>
      <c r="E12" s="78" t="n">
        <v>8</v>
      </c>
      <c r="F12" s="78">
        <f>D12*E12</f>
        <v/>
      </c>
      <c r="G12" s="227">
        <f>50000*F12</f>
        <v/>
      </c>
      <c r="H12" s="80" t="inlineStr">
        <is>
          <t>세부 숏폼 기획 + 편집, 수정편집 포함</t>
        </is>
      </c>
    </row>
    <row r="13" ht="15.75" customHeight="1" s="173">
      <c r="B13" s="80" t="inlineStr">
        <is>
          <t>영상 편집</t>
        </is>
      </c>
      <c r="C13" s="80" t="inlineStr">
        <is>
          <t>숏폼#2 기획+편집</t>
        </is>
      </c>
      <c r="D13" s="78" t="n">
        <v>1</v>
      </c>
      <c r="E13" s="78" t="n">
        <v>8</v>
      </c>
      <c r="F13" s="78">
        <f>D13*E13</f>
        <v/>
      </c>
      <c r="G13" s="227">
        <f>50000*F13</f>
        <v/>
      </c>
      <c r="H13" s="80" t="inlineStr">
        <is>
          <t>세부 숏폼 기획 + 편집, 수정편집 포함</t>
        </is>
      </c>
    </row>
    <row r="14" ht="15.75" customHeight="1" s="173">
      <c r="B14" s="74" t="n"/>
      <c r="C14" s="81" t="inlineStr">
        <is>
          <t>합계</t>
        </is>
      </c>
      <c r="D14" s="74" t="n"/>
      <c r="E14" s="74" t="n"/>
      <c r="F14" s="82">
        <f>SUM(F6:F13)</f>
        <v/>
      </c>
      <c r="G14" s="228">
        <f>SUM(G6:G13)</f>
        <v/>
      </c>
      <c r="H14" s="84" t="inlineStr">
        <is>
          <t>기타 촬영/편집 관련 제작 실비는 별도 청구</t>
        </is>
      </c>
    </row>
    <row r="15" ht="15.75" customHeight="1" s="173">
      <c r="B15" s="74" t="n"/>
      <c r="C15" s="74" t="n"/>
      <c r="D15" s="74" t="n"/>
      <c r="E15" s="74" t="n"/>
      <c r="F15" s="74" t="n"/>
      <c r="G15" s="74" t="n"/>
      <c r="H15" s="74" t="n"/>
    </row>
    <row r="16" ht="15.75" customHeight="1" s="173">
      <c r="B16" s="181" t="inlineStr">
        <is>
          <t>1회 촬영 시 발생하는 고정금액: ₩1,600,000 (영상편집 제외)</t>
        </is>
      </c>
      <c r="E16" s="181" t="n"/>
      <c r="F16" s="74" t="n"/>
      <c r="G16" s="74" t="n"/>
      <c r="H16" s="74" t="n"/>
    </row>
    <row r="17" ht="15.75" customHeight="1" s="173">
      <c r="B17" s="184" t="inlineStr">
        <is>
          <t>*기획 ₩200,000 + 답사 ₩150,000 + 촬영 ₩600,000 + 사진보정 ₩150,000 + 캐러셀디자인 ₩200,000 + 영상기획(전체) ₩300,000 + ₩550,000</t>
        </is>
      </c>
    </row>
    <row r="18" ht="15.75" customHeight="1" s="173">
      <c r="B18" s="181" t="inlineStr">
        <is>
          <t>산출물 1개 영상에 대한 변동비: ₩550,000/편 (세부 숏폼 기획 ₩150,000 + 편집 ₩400,000)</t>
        </is>
      </c>
      <c r="C18" s="74" t="n"/>
      <c r="D18" s="74" t="n"/>
      <c r="E18" s="74" t="n"/>
      <c r="F18" s="74" t="n"/>
      <c r="G18" s="74" t="n"/>
      <c r="H18" s="74" t="n"/>
    </row>
    <row r="19" ht="15.75" customHeight="1" s="173">
      <c r="B19" s="74" t="n"/>
      <c r="C19" s="74" t="n"/>
      <c r="D19" s="74" t="n"/>
      <c r="E19" s="74" t="n"/>
      <c r="F19" s="74" t="n"/>
      <c r="G19" s="74" t="n"/>
      <c r="H19" s="74" t="n"/>
    </row>
    <row r="20" ht="15.75" customHeight="1" s="173">
      <c r="B20" s="181" t="inlineStr">
        <is>
          <t>풀세트(캐러셀1+숏폼2): ₩1,600,000 + ₩550,000×2 = ₩2,700,000</t>
        </is>
      </c>
      <c r="G20" s="74" t="n"/>
      <c r="H20" s="74" t="n"/>
    </row>
    <row r="21" ht="15.75" customHeight="1" s="173">
      <c r="B21" s="181" t="inlineStr">
        <is>
          <t>축소세트(캐러셀1+숏폼1): ₩1,600,000 + ₩550,000×1 = ₩2,150,000</t>
        </is>
      </c>
      <c r="G21" s="74" t="n"/>
      <c r="H21" s="74" t="n"/>
    </row>
    <row r="23" ht="15.75" customHeight="1" s="173">
      <c r="B23" s="183" t="inlineStr">
        <is>
          <t>1막1장 기본세트 (숏폼2) = ₩1,550,000</t>
        </is>
      </c>
    </row>
    <row r="24" ht="15.75" customHeight="1" s="173">
      <c r="B24" s="74" t="n"/>
      <c r="C24" s="74" t="n"/>
      <c r="D24" s="74" t="n"/>
      <c r="E24" s="74" t="n"/>
      <c r="F24" s="74" t="n"/>
      <c r="G24" s="74" t="n"/>
      <c r="H24" s="74" t="n"/>
    </row>
    <row r="25" ht="15.75" customHeight="1" s="173">
      <c r="B25" s="76" t="inlineStr">
        <is>
          <t>대분류</t>
        </is>
      </c>
      <c r="C25" s="76" t="inlineStr">
        <is>
          <t>항목</t>
        </is>
      </c>
      <c r="D25" s="76" t="inlineStr">
        <is>
          <t>인원</t>
        </is>
      </c>
      <c r="E25" s="76" t="inlineStr">
        <is>
          <t>시간</t>
        </is>
      </c>
      <c r="F25" s="76" t="inlineStr">
        <is>
          <t>M/H</t>
        </is>
      </c>
      <c r="G25" s="76" t="inlineStr">
        <is>
          <t>단가(₩)</t>
        </is>
      </c>
      <c r="H25" s="76" t="inlineStr">
        <is>
          <t>비고</t>
        </is>
      </c>
    </row>
    <row r="26" ht="15.75" customHeight="1" s="173">
      <c r="B26" s="80" t="inlineStr">
        <is>
          <t>기획</t>
        </is>
      </c>
      <c r="C26" s="80" t="inlineStr">
        <is>
          <t>기획</t>
        </is>
      </c>
      <c r="D26" s="78" t="n">
        <v>1</v>
      </c>
      <c r="E26" s="78" t="n">
        <v>4</v>
      </c>
      <c r="F26" s="78">
        <f>D26*E26</f>
        <v/>
      </c>
      <c r="G26" s="227">
        <f>50000*F26</f>
        <v/>
      </c>
      <c r="H26" s="80" t="inlineStr">
        <is>
          <t>데스크리서치, 레퍼런스, 기획</t>
        </is>
      </c>
    </row>
    <row r="27" ht="15.75" customHeight="1" s="173">
      <c r="B27" s="80" t="inlineStr">
        <is>
          <t>촬영</t>
        </is>
      </c>
      <c r="C27" s="80" t="inlineStr">
        <is>
          <t>촬영</t>
        </is>
      </c>
      <c r="D27" s="78" t="n">
        <v>2</v>
      </c>
      <c r="E27" s="78" t="n">
        <v>6</v>
      </c>
      <c r="F27" s="78">
        <f>D27*E27</f>
        <v/>
      </c>
      <c r="G27" s="227">
        <f>50000*F27</f>
        <v/>
      </c>
      <c r="H27" s="80" t="inlineStr">
        <is>
          <t>2인 투입(핸드헬드캠1+짐벌캠1)</t>
        </is>
      </c>
    </row>
    <row r="28" ht="15.75" customHeight="1" s="173">
      <c r="B28" s="80" t="inlineStr">
        <is>
          <t>촬영</t>
        </is>
      </c>
      <c r="C28" s="80" t="inlineStr">
        <is>
          <t>촬영 색보정</t>
        </is>
      </c>
      <c r="D28" s="78" t="n">
        <v>1</v>
      </c>
      <c r="E28" s="78" t="n">
        <v>3</v>
      </c>
      <c r="F28" s="78">
        <f>D28*E28</f>
        <v/>
      </c>
      <c r="G28" s="227">
        <f>50000*F28</f>
        <v/>
      </c>
      <c r="H28" s="80" t="n"/>
    </row>
    <row r="29" ht="15.75" customHeight="1" s="173">
      <c r="B29" s="80" t="inlineStr">
        <is>
          <t>영상 편집</t>
        </is>
      </c>
      <c r="C29" s="80" t="inlineStr">
        <is>
          <t>숏폼#1 편집</t>
        </is>
      </c>
      <c r="D29" s="78" t="n">
        <v>1</v>
      </c>
      <c r="E29" s="78" t="n">
        <v>6</v>
      </c>
      <c r="F29" s="78">
        <f>D29*E29</f>
        <v/>
      </c>
      <c r="G29" s="227">
        <f>50000*F29</f>
        <v/>
      </c>
      <c r="H29" s="80" t="inlineStr">
        <is>
          <t>수정편집 포함</t>
        </is>
      </c>
    </row>
    <row r="30" ht="15.75" customHeight="1" s="173">
      <c r="B30" s="80" t="inlineStr">
        <is>
          <t>영상 편집</t>
        </is>
      </c>
      <c r="C30" s="80" t="inlineStr">
        <is>
          <t>숏폼#2 편집</t>
        </is>
      </c>
      <c r="D30" s="78" t="n">
        <v>1</v>
      </c>
      <c r="E30" s="78" t="n">
        <v>6</v>
      </c>
      <c r="F30" s="78">
        <f>D30*E30</f>
        <v/>
      </c>
      <c r="G30" s="227">
        <f>50000*F30</f>
        <v/>
      </c>
      <c r="H30" s="80" t="inlineStr">
        <is>
          <t>수정편집 포함</t>
        </is>
      </c>
    </row>
    <row r="31" ht="15.75" customHeight="1" s="173">
      <c r="B31" s="74" t="n"/>
      <c r="C31" s="81" t="inlineStr">
        <is>
          <t>합계</t>
        </is>
      </c>
      <c r="D31" s="74" t="n"/>
      <c r="E31" s="74" t="n"/>
      <c r="F31" s="82">
        <f>SUM(F26:F30)</f>
        <v/>
      </c>
      <c r="G31" s="228" t="n">
        <v>1550000</v>
      </c>
      <c r="H31" s="84" t="inlineStr">
        <is>
          <t>기타 촬영/편집 관련 제작 실비는 별도 청구</t>
        </is>
      </c>
    </row>
    <row r="32" ht="15.75" customHeight="1" s="173">
      <c r="B32" s="74" t="n"/>
      <c r="C32" s="74" t="n"/>
      <c r="D32" s="74" t="n"/>
      <c r="E32" s="74" t="n"/>
      <c r="F32" s="74" t="n"/>
      <c r="G32" s="74" t="n"/>
      <c r="H32" s="74" t="n"/>
    </row>
    <row r="33" ht="15.75" customHeight="1" s="173">
      <c r="B33" s="181" t="inlineStr">
        <is>
          <t>1회 촬영 시 발생하는 고정금액: ₩950,000 (기획 ₩200,000 + 촬영 ₩600,000 + 색보정 ₩150,000)</t>
        </is>
      </c>
      <c r="H33" s="74" t="n"/>
    </row>
    <row r="34" ht="15.75" customHeight="1" s="173">
      <c r="B34" s="181" t="inlineStr">
        <is>
          <t>산출물 1개 영상에 대한 변동비: ₩300,000/숏폼</t>
        </is>
      </c>
      <c r="E34" s="181" t="n"/>
      <c r="F34" s="74" t="n"/>
      <c r="G34" s="74" t="n"/>
      <c r="H34" s="74" t="n"/>
    </row>
    <row r="35" ht="15.75" customHeight="1" s="173">
      <c r="B35" s="74" t="n"/>
      <c r="C35" s="74" t="n"/>
      <c r="D35" s="74" t="n"/>
      <c r="E35" s="74" t="n"/>
      <c r="F35" s="74" t="n"/>
      <c r="G35" s="74" t="n"/>
      <c r="H35" s="74" t="n"/>
    </row>
    <row r="36" ht="15.75" customHeight="1" s="173">
      <c r="B36" s="181" t="inlineStr">
        <is>
          <t>숏폼1: ₩1,250,000 / 숏폼2: ₩1,550,000 / 숏폼3: ₩1,850,000</t>
        </is>
      </c>
      <c r="E36" s="181" t="n"/>
      <c r="F36" s="74" t="n"/>
      <c r="G36" s="74" t="n"/>
      <c r="H36" s="74" t="n"/>
    </row>
  </sheetData>
  <mergeCells count="10">
    <mergeCell ref="B21:F21"/>
    <mergeCell ref="B36:D36"/>
    <mergeCell ref="B33:G33"/>
    <mergeCell ref="B20:F20"/>
    <mergeCell ref="B3:C3"/>
    <mergeCell ref="B17:J17"/>
    <mergeCell ref="B2:H2"/>
    <mergeCell ref="B16:D16"/>
    <mergeCell ref="B34:D34"/>
    <mergeCell ref="B23:H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9CB9C"/>
    <outlinePr summaryBelow="0" summaryRight="0"/>
    <pageSetUpPr/>
  </sheetPr>
  <dimension ref="B2:K29"/>
  <sheetViews>
    <sheetView workbookViewId="0">
      <selection activeCell="A1" sqref="A1"/>
    </sheetView>
  </sheetViews>
  <sheetFormatPr baseColWidth="10" defaultColWidth="12.6640625" defaultRowHeight="15.75" customHeight="1"/>
  <cols>
    <col width="6.1640625" customWidth="1" style="173" min="1" max="1"/>
  </cols>
  <sheetData>
    <row r="2" ht="15.75" customHeight="1" s="173">
      <c r="B2" s="185" t="inlineStr">
        <is>
          <t>가격 매트릭스 (할인 적용 후 청구금액)</t>
        </is>
      </c>
      <c r="D2" s="74" t="n"/>
      <c r="E2" s="74" t="n"/>
      <c r="F2" s="74" t="n"/>
      <c r="G2" s="74" t="n"/>
      <c r="H2" s="74" t="n"/>
    </row>
    <row r="3" ht="15.75" customHeight="1" s="173">
      <c r="B3" s="181" t="inlineStr">
        <is>
          <t>* 모든 금액에는 비정기(AI스터디 ₩450,000 + 홍보이벤트 ₩400,000) + 채널운영 ₩200,000 = ₩1,050,000 포함</t>
        </is>
      </c>
      <c r="C3" s="74" t="n"/>
      <c r="D3" s="74" t="n"/>
      <c r="E3" s="74" t="n"/>
      <c r="F3" s="74" t="n"/>
      <c r="G3" s="74" t="n"/>
      <c r="H3" s="74" t="n"/>
    </row>
    <row r="4" ht="15.75" customHeight="1" s="173">
      <c r="B4" s="88" t="inlineStr">
        <is>
          <t>* 풀 : 영상2+캐러셀1의 세트를 의미 / 축소 : 영상1+캐러셀1의 세트를 의미 (화보 이미지는 공통으로 포함)</t>
        </is>
      </c>
      <c r="C4" s="74" t="n"/>
      <c r="D4" s="74" t="n"/>
      <c r="E4" s="74" t="n"/>
      <c r="F4" s="74" t="n"/>
      <c r="G4" s="74" t="n"/>
      <c r="H4" s="74" t="n"/>
    </row>
    <row r="5" ht="15.75" customHeight="1" s="173">
      <c r="B5" s="88" t="n"/>
      <c r="C5" s="74" t="n"/>
      <c r="D5" s="74" t="n"/>
      <c r="E5" s="74" t="n"/>
      <c r="F5" s="74" t="n"/>
      <c r="G5" s="74" t="n"/>
      <c r="H5" s="74" t="n"/>
    </row>
    <row r="6" ht="15.75" customHeight="1" s="173">
      <c r="B6" s="185" t="inlineStr">
        <is>
          <t>Raw Value Matrix (할인 전, 단가 기준)</t>
        </is>
      </c>
      <c r="E6" s="74" t="n"/>
      <c r="F6" s="74" t="n"/>
      <c r="G6" s="185" t="inlineStr">
        <is>
          <t>Final Price Matrix (티어별 할인 적용 / 총액 구간별 할인율: ~8M 파트너십 → 7%→8%→9%→10%)</t>
        </is>
      </c>
    </row>
    <row r="7" ht="15.75" customHeight="1" s="173">
      <c r="B7" s="76" t="inlineStr">
        <is>
          <t>순당포착 \ 1막1장</t>
        </is>
      </c>
      <c r="C7" s="76" t="inlineStr">
        <is>
          <t>숏폼1</t>
        </is>
      </c>
      <c r="D7" s="76" t="inlineStr">
        <is>
          <t>숏폼2 (현재)</t>
        </is>
      </c>
      <c r="E7" s="76" t="inlineStr">
        <is>
          <t>숏폼3</t>
        </is>
      </c>
      <c r="F7" s="74" t="n"/>
      <c r="G7" s="76" t="inlineStr">
        <is>
          <t>순당포착 \ 1막1장</t>
        </is>
      </c>
      <c r="H7" s="76" t="inlineStr">
        <is>
          <t>숏폼1</t>
        </is>
      </c>
      <c r="I7" s="76" t="inlineStr">
        <is>
          <t>숏폼2 (현재)</t>
        </is>
      </c>
      <c r="J7" s="76" t="inlineStr">
        <is>
          <t>숏폼3</t>
        </is>
      </c>
      <c r="K7" s="74" t="n"/>
    </row>
    <row r="8" ht="15.75" customHeight="1" s="173">
      <c r="B8" s="80" t="inlineStr">
        <is>
          <t>풀×1</t>
        </is>
      </c>
      <c r="C8" s="227" t="n">
        <v>5000000</v>
      </c>
      <c r="D8" s="227" t="n">
        <v>5300000</v>
      </c>
      <c r="E8" s="227" t="n">
        <v>5600000</v>
      </c>
      <c r="F8" s="74" t="n"/>
      <c r="G8" s="80" t="inlineStr">
        <is>
          <t>풀×1</t>
        </is>
      </c>
      <c r="H8" s="227" t="n">
        <v>5000000</v>
      </c>
      <c r="I8" s="227" t="n">
        <v>5300000</v>
      </c>
      <c r="J8" s="227" t="n">
        <v>5600000</v>
      </c>
      <c r="K8" s="74" t="n"/>
    </row>
    <row r="9" ht="15.75" customHeight="1" s="173">
      <c r="B9" s="80" t="inlineStr">
        <is>
          <t>축소×2</t>
        </is>
      </c>
      <c r="C9" s="227" t="n">
        <v>6600000</v>
      </c>
      <c r="D9" s="227" t="n">
        <v>6900000</v>
      </c>
      <c r="E9" s="227" t="n">
        <v>7200000</v>
      </c>
      <c r="F9" s="74" t="n"/>
      <c r="G9" s="80" t="inlineStr">
        <is>
          <t>축소×2</t>
        </is>
      </c>
      <c r="H9" s="227" t="n">
        <v>6600000</v>
      </c>
      <c r="I9" s="227" t="n">
        <v>6900000</v>
      </c>
      <c r="J9" s="227" t="n">
        <v>7200000</v>
      </c>
      <c r="K9" s="74" t="n"/>
    </row>
    <row r="10" ht="15.75" customHeight="1" s="173">
      <c r="B10" s="80" t="inlineStr">
        <is>
          <t>풀×2 (현재)</t>
        </is>
      </c>
      <c r="C10" s="227" t="n">
        <v>7700000</v>
      </c>
      <c r="D10" s="229" t="n">
        <v>8000000</v>
      </c>
      <c r="E10" s="227" t="n">
        <v>8300000</v>
      </c>
      <c r="F10" s="74" t="n"/>
      <c r="G10" s="80" t="inlineStr">
        <is>
          <t>풀×2 (현재)</t>
        </is>
      </c>
      <c r="H10" s="227" t="n">
        <v>7500000</v>
      </c>
      <c r="I10" s="229" t="n">
        <v>7500000</v>
      </c>
      <c r="J10" s="227" t="n">
        <v>7710000</v>
      </c>
      <c r="K10" s="74" t="n"/>
    </row>
    <row r="11" ht="15.75" customHeight="1" s="173">
      <c r="B11" s="80" t="inlineStr">
        <is>
          <t>축소×3</t>
        </is>
      </c>
      <c r="C11" s="227" t="n">
        <v>8750000</v>
      </c>
      <c r="D11" s="227" t="n">
        <v>9050000</v>
      </c>
      <c r="E11" s="227" t="n">
        <v>9350000</v>
      </c>
      <c r="F11" s="74" t="n"/>
      <c r="G11" s="80" t="inlineStr">
        <is>
          <t>축소×3</t>
        </is>
      </c>
      <c r="H11" s="227" t="n">
        <v>8130000</v>
      </c>
      <c r="I11" s="227" t="n">
        <v>8320000</v>
      </c>
      <c r="J11" s="227" t="n">
        <v>8600000</v>
      </c>
      <c r="K11" s="74" t="n"/>
    </row>
    <row r="12" ht="15.75" customHeight="1" s="173">
      <c r="B12" s="80" t="inlineStr">
        <is>
          <t>풀×2+축소×1</t>
        </is>
      </c>
      <c r="C12" s="227" t="n">
        <v>9850000</v>
      </c>
      <c r="D12" s="227" t="n">
        <v>10150000</v>
      </c>
      <c r="E12" s="227" t="n">
        <v>10450000</v>
      </c>
      <c r="F12" s="74" t="n"/>
      <c r="G12" s="80" t="inlineStr">
        <is>
          <t>풀×2+축소×1</t>
        </is>
      </c>
      <c r="H12" s="227" t="n">
        <v>9060000</v>
      </c>
      <c r="I12" s="227" t="n">
        <v>9230000</v>
      </c>
      <c r="J12" s="227" t="n">
        <v>9500000</v>
      </c>
      <c r="K12" s="74" t="n"/>
    </row>
    <row r="13" ht="15.75" customHeight="1" s="173">
      <c r="B13" s="80" t="inlineStr">
        <is>
          <t>풀×3</t>
        </is>
      </c>
      <c r="C13" s="227" t="n">
        <v>10400000</v>
      </c>
      <c r="D13" s="227" t="n">
        <v>10700000</v>
      </c>
      <c r="E13" s="227" t="n">
        <v>11000000</v>
      </c>
      <c r="F13" s="74" t="n"/>
      <c r="G13" s="80" t="inlineStr">
        <is>
          <t>풀×3</t>
        </is>
      </c>
      <c r="H13" s="227" t="n">
        <v>9460000</v>
      </c>
      <c r="I13" s="227" t="n">
        <v>9730000</v>
      </c>
      <c r="J13" s="227" t="n">
        <v>10010000</v>
      </c>
      <c r="K13" s="74" t="n"/>
    </row>
    <row r="14" ht="15.75" customHeight="1" s="173">
      <c r="B14" s="80" t="inlineStr">
        <is>
          <t>축소×4</t>
        </is>
      </c>
      <c r="C14" s="227" t="n">
        <v>10900000</v>
      </c>
      <c r="D14" s="227" t="n">
        <v>11200000</v>
      </c>
      <c r="E14" s="227" t="n">
        <v>11500000</v>
      </c>
      <c r="F14" s="74" t="n"/>
      <c r="G14" s="80" t="inlineStr">
        <is>
          <t>축소×4</t>
        </is>
      </c>
      <c r="H14" s="227" t="n">
        <v>9910000</v>
      </c>
      <c r="I14" s="227" t="n">
        <v>10080000</v>
      </c>
      <c r="J14" s="227" t="n">
        <v>10350000</v>
      </c>
      <c r="K14" s="74" t="n"/>
    </row>
    <row r="15" ht="15.75" customHeight="1" s="173">
      <c r="B15" s="80" t="inlineStr">
        <is>
          <t>풀×2+축소×2</t>
        </is>
      </c>
      <c r="C15" s="227" t="n">
        <v>12000000</v>
      </c>
      <c r="D15" s="227" t="n">
        <v>12300000</v>
      </c>
      <c r="E15" s="227" t="n">
        <v>12600000</v>
      </c>
      <c r="F15" s="74" t="n"/>
      <c r="G15" s="80" t="inlineStr">
        <is>
          <t>풀×2+축소×2</t>
        </is>
      </c>
      <c r="H15" s="227" t="n">
        <v>10800000</v>
      </c>
      <c r="I15" s="227" t="n">
        <v>11070000</v>
      </c>
      <c r="J15" s="227" t="n">
        <v>11340000</v>
      </c>
      <c r="K15" s="74" t="n"/>
    </row>
    <row r="16" ht="15.75" customHeight="1" s="173">
      <c r="B16" s="74" t="n"/>
      <c r="C16" s="74" t="n"/>
      <c r="D16" s="74" t="n"/>
      <c r="E16" s="74" t="n"/>
      <c r="F16" s="74" t="n"/>
      <c r="G16" s="74" t="n"/>
      <c r="H16" s="74" t="n"/>
    </row>
    <row r="17" ht="15.75" customHeight="1" s="173">
      <c r="B17" s="74" t="n"/>
      <c r="C17" s="74" t="n"/>
      <c r="D17" s="74" t="n"/>
      <c r="E17" s="74" t="n"/>
      <c r="F17" s="74" t="n"/>
      <c r="G17" s="74" t="n"/>
      <c r="H17" s="74" t="n"/>
    </row>
    <row r="18" ht="15.75" customHeight="1" s="173">
      <c r="B18" s="185" t="inlineStr">
        <is>
          <t>상세 시나리오 및 할인율</t>
        </is>
      </c>
      <c r="C18" s="74" t="n"/>
      <c r="D18" s="74" t="n"/>
      <c r="E18" s="74" t="n"/>
      <c r="F18" s="74" t="n"/>
      <c r="G18" s="74" t="n"/>
      <c r="H18" s="74" t="n"/>
    </row>
    <row r="19" ht="15.75" customHeight="1" s="173">
      <c r="B19" s="76" t="inlineStr">
        <is>
          <t>#</t>
        </is>
      </c>
      <c r="C19" s="76" t="inlineStr">
        <is>
          <t>순당포착</t>
        </is>
      </c>
      <c r="D19" s="76" t="inlineStr">
        <is>
          <t>1막1장</t>
        </is>
      </c>
      <c r="E19" s="76" t="inlineStr">
        <is>
          <t>Raw</t>
        </is>
      </c>
      <c r="F19" s="76" t="inlineStr">
        <is>
          <t>할인금액</t>
        </is>
      </c>
      <c r="G19" s="76" t="inlineStr">
        <is>
          <t>청구금액</t>
        </is>
      </c>
      <c r="H19" s="76" t="inlineStr">
        <is>
          <t>할인율</t>
        </is>
      </c>
    </row>
    <row r="20" ht="15.75" customHeight="1" s="173">
      <c r="B20" s="90" t="inlineStr">
        <is>
          <t>A (현재)</t>
        </is>
      </c>
      <c r="C20" s="90" t="inlineStr">
        <is>
          <t>풀×2</t>
        </is>
      </c>
      <c r="D20" s="90" t="inlineStr">
        <is>
          <t>숏폼2</t>
        </is>
      </c>
      <c r="E20" s="229" t="n">
        <v>8000000</v>
      </c>
      <c r="F20" s="229" t="n">
        <v>500000</v>
      </c>
      <c r="G20" s="229" t="n">
        <v>7500000</v>
      </c>
      <c r="H20" s="91" t="n">
        <v>0.06</v>
      </c>
    </row>
    <row r="21" ht="15.75" customHeight="1" s="173">
      <c r="B21" s="80" t="inlineStr">
        <is>
          <t>B1</t>
        </is>
      </c>
      <c r="C21" s="80" t="inlineStr">
        <is>
          <t>풀×2</t>
        </is>
      </c>
      <c r="D21" s="80" t="inlineStr">
        <is>
          <t>숏폼3</t>
        </is>
      </c>
      <c r="E21" s="227" t="n">
        <v>8300000</v>
      </c>
      <c r="F21" s="227" t="n">
        <v>590000</v>
      </c>
      <c r="G21" s="227" t="n">
        <v>7710000</v>
      </c>
      <c r="H21" s="92" t="n">
        <v>0.07000000000000001</v>
      </c>
    </row>
    <row r="22" ht="15.75" customHeight="1" s="173">
      <c r="B22" s="80" t="inlineStr">
        <is>
          <t>C1</t>
        </is>
      </c>
      <c r="C22" s="80" t="inlineStr">
        <is>
          <t>축소×3</t>
        </is>
      </c>
      <c r="D22" s="80" t="inlineStr">
        <is>
          <t>숏폼2</t>
        </is>
      </c>
      <c r="E22" s="227" t="n">
        <v>9050000</v>
      </c>
      <c r="F22" s="227" t="n">
        <v>730000</v>
      </c>
      <c r="G22" s="227" t="n">
        <v>8320000</v>
      </c>
      <c r="H22" s="92" t="n">
        <v>0.08</v>
      </c>
    </row>
    <row r="23" ht="15.75" customHeight="1" s="173">
      <c r="B23" s="80" t="inlineStr">
        <is>
          <t>C2</t>
        </is>
      </c>
      <c r="C23" s="80" t="inlineStr">
        <is>
          <t>축소×3</t>
        </is>
      </c>
      <c r="D23" s="80" t="inlineStr">
        <is>
          <t>숏폼3</t>
        </is>
      </c>
      <c r="E23" s="227" t="n">
        <v>9350000</v>
      </c>
      <c r="F23" s="227" t="n">
        <v>750000</v>
      </c>
      <c r="G23" s="227" t="n">
        <v>8600000</v>
      </c>
      <c r="H23" s="92" t="n">
        <v>0.08</v>
      </c>
    </row>
    <row r="24" ht="15.75" customHeight="1" s="173">
      <c r="B24" s="80" t="inlineStr">
        <is>
          <t>C3</t>
        </is>
      </c>
      <c r="C24" s="80" t="inlineStr">
        <is>
          <t>풀×2+축소×1</t>
        </is>
      </c>
      <c r="D24" s="80" t="inlineStr">
        <is>
          <t>숏폼2</t>
        </is>
      </c>
      <c r="E24" s="227" t="n">
        <v>10150000</v>
      </c>
      <c r="F24" s="227" t="n">
        <v>920000</v>
      </c>
      <c r="G24" s="227" t="n">
        <v>9230000</v>
      </c>
      <c r="H24" s="92" t="n">
        <v>0.09</v>
      </c>
    </row>
    <row r="25" ht="15.75" customHeight="1" s="173">
      <c r="B25" s="80" t="inlineStr">
        <is>
          <t>C4</t>
        </is>
      </c>
      <c r="C25" s="80" t="inlineStr">
        <is>
          <t>풀×2+축소×1</t>
        </is>
      </c>
      <c r="D25" s="80" t="inlineStr">
        <is>
          <t>숏폼3</t>
        </is>
      </c>
      <c r="E25" s="227" t="n">
        <v>10450000</v>
      </c>
      <c r="F25" s="227" t="n">
        <v>950000</v>
      </c>
      <c r="G25" s="227" t="n">
        <v>9500000</v>
      </c>
      <c r="H25" s="92" t="n">
        <v>0.09</v>
      </c>
    </row>
    <row r="26" ht="15.75" customHeight="1" s="173">
      <c r="B26" s="80" t="inlineStr">
        <is>
          <t>C5</t>
        </is>
      </c>
      <c r="C26" s="80" t="inlineStr">
        <is>
          <t>풀×3</t>
        </is>
      </c>
      <c r="D26" s="80" t="inlineStr">
        <is>
          <t>숏폼2</t>
        </is>
      </c>
      <c r="E26" s="227" t="n">
        <v>10700000</v>
      </c>
      <c r="F26" s="227" t="n">
        <v>970000</v>
      </c>
      <c r="G26" s="227" t="n">
        <v>9730000</v>
      </c>
      <c r="H26" s="92" t="n">
        <v>0.09</v>
      </c>
    </row>
    <row r="27" ht="15.75" customHeight="1" s="173">
      <c r="B27" s="80" t="inlineStr">
        <is>
          <t>D1</t>
        </is>
      </c>
      <c r="C27" s="80" t="inlineStr">
        <is>
          <t>축소×4</t>
        </is>
      </c>
      <c r="D27" s="80" t="inlineStr">
        <is>
          <t>숏폼2</t>
        </is>
      </c>
      <c r="E27" s="227" t="n">
        <v>11200000</v>
      </c>
      <c r="F27" s="227" t="n">
        <v>1120000</v>
      </c>
      <c r="G27" s="227" t="n">
        <v>10080000</v>
      </c>
      <c r="H27" s="92" t="n">
        <v>0.1</v>
      </c>
    </row>
    <row r="28" ht="15.75" customHeight="1" s="173">
      <c r="B28" s="80" t="inlineStr">
        <is>
          <t>D2</t>
        </is>
      </c>
      <c r="C28" s="80" t="inlineStr">
        <is>
          <t>축소×4</t>
        </is>
      </c>
      <c r="D28" s="80" t="inlineStr">
        <is>
          <t>숏폼3</t>
        </is>
      </c>
      <c r="E28" s="227" t="n">
        <v>11500000</v>
      </c>
      <c r="F28" s="227" t="n">
        <v>1150000</v>
      </c>
      <c r="G28" s="227" t="n">
        <v>10350000</v>
      </c>
      <c r="H28" s="92" t="n">
        <v>0.1</v>
      </c>
    </row>
    <row r="29" ht="15.75" customHeight="1" s="173">
      <c r="B29" s="80" t="inlineStr">
        <is>
          <t>D3</t>
        </is>
      </c>
      <c r="C29" s="80" t="inlineStr">
        <is>
          <t>풀×2+축소×2</t>
        </is>
      </c>
      <c r="D29" s="80" t="inlineStr">
        <is>
          <t>숏폼2</t>
        </is>
      </c>
      <c r="E29" s="227" t="n">
        <v>12300000</v>
      </c>
      <c r="F29" s="227" t="n">
        <v>1230000</v>
      </c>
      <c r="G29" s="227" t="n">
        <v>11070000</v>
      </c>
      <c r="H29" s="92" t="n">
        <v>0.1</v>
      </c>
    </row>
  </sheetData>
  <mergeCells count="3">
    <mergeCell ref="G6:K6"/>
    <mergeCell ref="B6:D6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B4:H2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7.33203125" customWidth="1" style="173" min="1" max="1"/>
    <col width="17.5" customWidth="1" style="173" min="2" max="2"/>
    <col width="33.6640625" customWidth="1" style="173" min="3" max="3"/>
    <col width="8.33203125" customWidth="1" style="173" min="5" max="5"/>
    <col width="3.6640625" customWidth="1" style="173" min="6" max="6"/>
    <col width="15.6640625" customWidth="1" style="173" min="7" max="7"/>
    <col width="78.33203125" customWidth="1" style="173" min="8" max="8"/>
  </cols>
  <sheetData>
    <row r="4" ht="22.5" customHeight="1" s="173">
      <c r="B4" s="93" t="inlineStr">
        <is>
          <t>구분</t>
        </is>
      </c>
      <c r="C4" s="93" t="inlineStr">
        <is>
          <t>항목</t>
        </is>
      </c>
      <c r="D4" s="93" t="inlineStr">
        <is>
          <t>단가</t>
        </is>
      </c>
      <c r="E4" s="93" t="inlineStr">
        <is>
          <t>수량</t>
        </is>
      </c>
      <c r="F4" s="94" t="inlineStr">
        <is>
          <t>-</t>
        </is>
      </c>
      <c r="G4" s="93" t="inlineStr">
        <is>
          <t>합계 (₩)</t>
        </is>
      </c>
      <c r="H4" s="93" t="inlineStr">
        <is>
          <t>비고</t>
        </is>
      </c>
    </row>
    <row r="5" ht="22.5" customHeight="1" s="173">
      <c r="B5" s="95" t="inlineStr">
        <is>
          <t>26-1월 청구분</t>
        </is>
      </c>
      <c r="C5" s="110" t="inlineStr">
        <is>
          <t>사전 기획료 및 디자인 비용</t>
        </is>
      </c>
      <c r="D5" s="97" t="inlineStr">
        <is>
          <t>-</t>
        </is>
      </c>
      <c r="E5" s="97" t="inlineStr">
        <is>
          <t>-</t>
        </is>
      </c>
      <c r="F5" s="98" t="n"/>
      <c r="G5" s="98" t="n">
        <v>2000000</v>
      </c>
      <c r="H5" s="97" t="inlineStr">
        <is>
          <t>사전 기획비 + 디자인 세팅비로 기존 합의된 금액에 의거하여 1회 청구 (₩2,000,000)</t>
        </is>
      </c>
    </row>
    <row r="6" ht="22.5" customHeight="1" s="173">
      <c r="B6" s="99" t="n"/>
      <c r="C6" s="101" t="inlineStr">
        <is>
          <t>소계</t>
        </is>
      </c>
      <c r="D6" s="101" t="n"/>
      <c r="E6" s="101" t="n"/>
      <c r="F6" s="102" t="n"/>
      <c r="G6" s="102" t="n">
        <v>2000000</v>
      </c>
      <c r="H6" s="101" t="inlineStr">
        <is>
          <t>VAT 별도</t>
        </is>
      </c>
    </row>
    <row r="7" ht="22.5" customHeight="1" s="173">
      <c r="B7" s="99" t="n"/>
      <c r="C7" s="103" t="inlineStr">
        <is>
          <t>정기콘텐츠 제작</t>
        </is>
      </c>
      <c r="D7" s="98" t="n"/>
      <c r="E7" s="97" t="n">
        <v>0</v>
      </c>
      <c r="F7" s="98" t="inlineStr">
        <is>
          <t>편</t>
        </is>
      </c>
      <c r="G7" s="98">
        <f>D7*E7</f>
        <v/>
      </c>
    </row>
    <row r="8" ht="22.5" customHeight="1" s="173">
      <c r="B8" s="99" t="n"/>
      <c r="C8" s="103" t="inlineStr">
        <is>
          <t>비정기 콘텐츠 제작 (영상)</t>
        </is>
      </c>
      <c r="D8" s="98" t="n">
        <v>800000</v>
      </c>
      <c r="E8" s="97" t="n">
        <v>1</v>
      </c>
      <c r="F8" s="98" t="inlineStr">
        <is>
          <t>편</t>
        </is>
      </c>
      <c r="G8" s="98">
        <f>D8*E8</f>
        <v/>
      </c>
      <c r="H8" s="104" t="inlineStr">
        <is>
          <t>혼돈주' 콘텐츠 제작 | 비정기 콘텐츠 (영상) 견적금액 기준</t>
        </is>
      </c>
    </row>
    <row r="9" ht="22.5" customHeight="1" s="173">
      <c r="B9" s="99" t="n"/>
      <c r="C9" s="105" t="inlineStr">
        <is>
          <t>제작실비</t>
        </is>
      </c>
      <c r="D9" s="106" t="n"/>
      <c r="E9" s="106" t="n"/>
      <c r="F9" s="107" t="n"/>
      <c r="G9" s="107" t="n"/>
      <c r="H9" s="108" t="n"/>
    </row>
    <row r="10" ht="22.5" customHeight="1" s="173">
      <c r="B10" s="109" t="n"/>
      <c r="C10" s="101" t="inlineStr">
        <is>
          <t>소계</t>
        </is>
      </c>
      <c r="D10" s="101" t="n"/>
      <c r="E10" s="101" t="n"/>
      <c r="F10" s="102" t="n"/>
      <c r="G10" s="102">
        <f>G7+G8+G9</f>
        <v/>
      </c>
      <c r="H10" s="101" t="inlineStr">
        <is>
          <t>VAT 별도</t>
        </is>
      </c>
    </row>
    <row r="11" ht="22.5" customHeight="1" s="173">
      <c r="B11" s="95" t="inlineStr">
        <is>
          <t>청구 합계</t>
        </is>
      </c>
      <c r="C11" s="110" t="inlineStr">
        <is>
          <t>월 청구분 합계 (1월)</t>
        </is>
      </c>
      <c r="D11" s="110" t="n"/>
      <c r="E11" s="110" t="n"/>
      <c r="F11" s="111" t="n"/>
      <c r="G11" s="111">
        <f>G6+G10</f>
        <v/>
      </c>
      <c r="H11" s="97" t="inlineStr">
        <is>
          <t>VAT 별도</t>
        </is>
      </c>
    </row>
    <row r="13" ht="13" customHeight="1" s="173">
      <c r="B13" s="113" t="n"/>
    </row>
    <row r="15" ht="20.25" customHeight="1" s="173">
      <c r="B15" s="113" t="n"/>
    </row>
    <row r="16" ht="20.25" customHeight="1" s="173"/>
    <row r="17" ht="20.25" customHeight="1" s="173">
      <c r="B17" s="113" t="n"/>
    </row>
    <row r="19" ht="20.25" customHeight="1" s="173"/>
    <row r="20" ht="20.25" customHeight="1" s="173">
      <c r="B20" s="113" t="n"/>
    </row>
    <row r="21" ht="13" customHeight="1" s="173">
      <c r="B21" s="113" t="n"/>
    </row>
    <row r="23" ht="13" customHeight="1" s="173">
      <c r="B23" s="113" t="n"/>
    </row>
    <row r="28" ht="13" customHeight="1" s="173">
      <c r="B28" s="113" t="n"/>
    </row>
  </sheetData>
  <dataValidations count="1">
    <dataValidation sqref="G5:G11" showDropDown="1" showInputMessage="0" showErrorMessage="0" allowBlank="1" type="custom">
      <formula1>AND(ISNUMBER(G5),(NOT(OR(NOT(ISERROR(DATEVALUE(G5))), AND(ISNUMBER(G5), LEFT(CELL("format", G5))="D")))))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B1:L19"/>
  <sheetViews>
    <sheetView workbookViewId="0">
      <selection activeCell="A1" sqref="A1"/>
    </sheetView>
  </sheetViews>
  <sheetFormatPr baseColWidth="10" defaultColWidth="12.6640625" defaultRowHeight="15.75" customHeight="1"/>
  <cols>
    <col width="3.5" customWidth="1" style="173" min="1" max="1"/>
    <col width="19.5" customWidth="1" style="173" min="3" max="3"/>
    <col width="8.83203125" customWidth="1" style="173" min="4" max="4"/>
    <col width="19.1640625" customWidth="1" style="173" min="5" max="5"/>
    <col width="10.6640625" customWidth="1" style="173" min="6" max="6"/>
    <col width="29.6640625" customWidth="1" style="173" min="7" max="7"/>
    <col width="8.33203125" customWidth="1" style="173" min="8" max="8"/>
    <col width="33.33203125" customWidth="1" style="173" min="9" max="9"/>
    <col width="15.1640625" customWidth="1" style="173" min="10" max="10"/>
    <col width="7.6640625" customWidth="1" style="173" min="11" max="11"/>
    <col width="16.33203125" customWidth="1" style="173" min="12" max="12"/>
  </cols>
  <sheetData>
    <row r="1" ht="13" customHeight="1" s="173">
      <c r="F1" s="113" t="n"/>
    </row>
    <row r="2" ht="24.75" customHeight="1" s="173">
      <c r="B2" s="114" t="inlineStr">
        <is>
          <t>■ 영상 종류별 편당 단가표</t>
        </is>
      </c>
      <c r="F2" s="113" t="n"/>
    </row>
    <row r="3" ht="13" customHeight="1" s="173">
      <c r="B3" s="230" t="inlineStr">
        <is>
          <t>영상 종류</t>
        </is>
      </c>
      <c r="C3" s="189" t="inlineStr">
        <is>
          <t>Step.1 기획/시나리오</t>
        </is>
      </c>
      <c r="D3" s="231" t="n"/>
      <c r="E3" s="231" t="n"/>
      <c r="F3" s="189" t="inlineStr">
        <is>
          <t>Step.2 촬영지원</t>
        </is>
      </c>
      <c r="G3" s="231" t="n"/>
      <c r="H3" s="231" t="n"/>
      <c r="I3" s="231" t="n"/>
      <c r="J3" s="232" t="inlineStr">
        <is>
          <t>Step.3 편집</t>
        </is>
      </c>
      <c r="K3" s="231" t="n"/>
      <c r="L3" s="233" t="n"/>
    </row>
    <row r="4" ht="13" customHeight="1" s="173">
      <c r="B4" s="234" t="n"/>
      <c r="C4" s="192" t="inlineStr">
        <is>
          <t>[투입인력] CH팀 2인 + 어시스턴트 에디터 2인 / 콘텐츠 당 기본 3h 투입
 [기본가] 3h*50,000 = 150,000원 
→ 템플릿화 이후 운영효율화 고려하여, 20% 할인가 적용 = 120,000</t>
        </is>
      </c>
      <c r="F4" s="192" t="inlineStr">
        <is>
          <t>[투입인력] CH팀 2인(연출1, 촬영1) / 1회 촬영 당, 기본 8h 투입
 [기본가] 8h*2인*50,000 = 800,000 / 촬영 지원 시, 장비 지원금액 포함 산출</t>
        </is>
      </c>
      <c r="J4" s="200" t="inlineStr">
        <is>
          <t xml:space="preserve">[투입인력] 촬영(30초~1분) 기준, 1인 6h투입
 [기본가] 편당 6h*50,000 = 300,000원 </t>
        </is>
      </c>
      <c r="L4" s="235" t="n"/>
    </row>
    <row r="5" ht="26" customHeight="1" s="173">
      <c r="B5" s="236" t="n"/>
      <c r="C5" s="116" t="inlineStr">
        <is>
          <t>리소스 상세</t>
        </is>
      </c>
      <c r="D5" s="117" t="inlineStr">
        <is>
          <t>비용 (편당)</t>
        </is>
      </c>
      <c r="E5" s="117" t="inlineStr">
        <is>
          <t>비고</t>
        </is>
      </c>
      <c r="F5" s="117" t="inlineStr">
        <is>
          <t>투입 인력</t>
        </is>
      </c>
      <c r="G5" s="117" t="inlineStr">
        <is>
          <t>장비 지원</t>
        </is>
      </c>
      <c r="H5" s="117" t="inlineStr">
        <is>
          <t>비용 (편당)</t>
        </is>
      </c>
      <c r="I5" s="117" t="inlineStr">
        <is>
          <t>비고</t>
        </is>
      </c>
      <c r="J5" s="117" t="inlineStr">
        <is>
          <t>리소스 상세</t>
        </is>
      </c>
      <c r="K5" s="117" t="inlineStr">
        <is>
          <t>비용 (편당)</t>
        </is>
      </c>
      <c r="L5" s="118" t="inlineStr">
        <is>
          <t>비고</t>
        </is>
      </c>
    </row>
    <row r="6" ht="156" customHeight="1" s="173">
      <c r="B6" s="119" t="inlineStr">
        <is>
          <t>[영상1] 
미션 기반 콘텐츠</t>
        </is>
      </c>
      <c r="C6" s="192" t="inlineStr">
        <is>
          <t>- 콘텐츠 포맷 기획
 - 스크립트 작성
 - 레퍼런스 탐색
 - 콘텐츠 전략 및 촬영 기획</t>
        </is>
      </c>
      <c r="D6" s="120" t="n">
        <v>120000</v>
      </c>
      <c r="E6" s="192" t="inlineStr">
        <is>
          <t>- 비용산출
 *1회 촬영분에 대한 기획료</t>
        </is>
      </c>
      <c r="F6" s="192" t="inlineStr">
        <is>
          <t>*2인 
(연출1 / 촬영1) 
+에디터 N명</t>
        </is>
      </c>
      <c r="G6" s="192" t="inlineStr">
        <is>
          <t>- Sony A7C2
 - TAMRON 15-75mm (선택) DJI RS3 짐벌
 - DJI OSMO Pocket 3 Package
 - DJI Mic Mini x2</t>
        </is>
      </c>
      <c r="H6" s="120" t="n">
        <v>480000</v>
      </c>
      <c r="I6" s="192" t="inlineStr">
        <is>
          <t>[기본가] 80만원 기준 20% 할인가
- 초기 기획논의 및 템플릿화에 따른 20% 할인가 적용 
* 모든 [영상1] 콘텐츠는 식당, 사무실 등 여러 공간에서 이동형/고정형 촬영이 교차되는 것으로 전제 
* 촬영 1회당 기본적으로 1회분의 콘텐츠를 기대할 수 있음 
-- 촬영 단계에서 일반적인 고정촬영 콘텐츠와 같이 템플릿화하기는 어려우나, 향후 효율화를 고려하여 촬영 당 6h로 산정</t>
        </is>
      </c>
      <c r="J6" s="123" t="inlineStr">
        <is>
          <t>[가편집]
 컷편집+사운드+자막
 [본편집]
 색보정+디테일
 *수정 횟수 제한 X</t>
        </is>
      </c>
      <c r="K6" s="237" t="n">
        <v>300000</v>
      </c>
      <c r="L6" s="238" t="inlineStr">
        <is>
          <t>[할인가 적용]
 -. 초기 기획논의 및 디자인 설정
 -. 영상 별 템플릿화 적용
 -. N개월 장기 운영
 이에 편집총액의 20% 할인가 적용
 ※ 3개월 견적 + 30건 적용하여 추가할인 적용
 -. 30건 기준 640만원
 -. 편당 210,000원 (기본가 대비 30% 할인)</t>
        </is>
      </c>
    </row>
    <row r="7" ht="65" customHeight="1" s="173">
      <c r="B7" s="122" t="inlineStr">
        <is>
          <t>[영상2] 
업무 관련 브이로그</t>
        </is>
      </c>
      <c r="C7" s="123" t="inlineStr">
        <is>
          <t>- 콘텐츠 포맷 기획
 - 레퍼런스 탐색
 - 콘텐츠 전략 및 촬영 기획
 - 브이로그 콘티 기획</t>
        </is>
      </c>
      <c r="D7" s="124" t="n">
        <v>80000</v>
      </c>
      <c r="E7" s="123" t="inlineStr">
        <is>
          <t>- 브이로그 특성 상, 스크립트 제외 됨에 따라 [영상2] 기본 단가에서 할인 적용
 - 비용산출
 *1회 촬영분에 대한 기획료</t>
        </is>
      </c>
      <c r="F7" s="123" t="inlineStr">
        <is>
          <t>동행 X (장비대여지원)</t>
        </is>
      </c>
      <c r="G7" s="123" t="inlineStr">
        <is>
          <t>[대여 품목]
 - DJI OSMO Pocket 3 Package
 - DJI Mic Mici x2</t>
        </is>
      </c>
      <c r="H7" s="124" t="n">
        <v>100000</v>
      </c>
      <c r="I7" s="123" t="inlineStr">
        <is>
          <t xml:space="preserve"> - 촬영 미동반
 - 장비대여 및 사용가이드 제공 단가</t>
        </is>
      </c>
      <c r="J7" s="239" t="n"/>
      <c r="K7" s="239" t="n"/>
      <c r="L7" s="240" t="n"/>
    </row>
    <row r="8" ht="13" customHeight="1" s="173">
      <c r="J8" s="192" t="n"/>
      <c r="K8" s="199" t="n"/>
      <c r="L8" s="192" t="n"/>
    </row>
    <row r="9" ht="24.75" customHeight="1" s="173">
      <c r="B9" s="114" t="inlineStr">
        <is>
          <t>■ 초기 기획비용 및 디자인 비용 (고정비)</t>
        </is>
      </c>
      <c r="F9" s="113" t="n"/>
    </row>
    <row r="10" ht="13" customHeight="1" s="173">
      <c r="B10" s="202" t="inlineStr">
        <is>
          <t>항목</t>
        </is>
      </c>
      <c r="C10" s="126" t="inlineStr">
        <is>
          <t>금액</t>
        </is>
      </c>
      <c r="D10" s="241" t="inlineStr">
        <is>
          <t>비고</t>
        </is>
      </c>
      <c r="E10" s="231" t="n"/>
      <c r="F10" s="231" t="n"/>
      <c r="G10" s="233" t="n"/>
    </row>
    <row r="11" ht="13" customHeight="1" s="173">
      <c r="B11" s="203" t="inlineStr">
        <is>
          <t>사전 기획료</t>
        </is>
      </c>
      <c r="C11" s="128" t="n">
        <v>1000000</v>
      </c>
      <c r="D11" s="242" t="inlineStr">
        <is>
          <t>전반적인 채널운영 및 콘텐츠 시리즈에 대한 기획, 레퍼런스 탐색 및 컨셉 단위 제안</t>
        </is>
      </c>
      <c r="G11" s="235" t="n"/>
    </row>
    <row r="12" ht="13" customHeight="1" s="173">
      <c r="B12" s="203" t="inlineStr">
        <is>
          <t>디자인리소스</t>
        </is>
      </c>
      <c r="C12" s="128" t="n">
        <v>2000000</v>
      </c>
      <c r="D12" s="242" t="inlineStr">
        <is>
          <t>로고타입, 폰트/컬러, 영상디자인 요소, 영상 T&amp;M (*필요 시 현장콘텐츠 활용하는 소품디자인)</t>
        </is>
      </c>
      <c r="G12" s="235" t="n"/>
    </row>
    <row r="13" ht="13" customHeight="1" s="173">
      <c r="B13" s="203" t="inlineStr">
        <is>
          <t>할인</t>
        </is>
      </c>
      <c r="C13" s="129" t="n">
        <v>1000000</v>
      </c>
      <c r="D13" s="243" t="inlineStr">
        <is>
          <t>하반기 N개월 계약에 따른 사전할인</t>
        </is>
      </c>
      <c r="G13" s="235" t="n"/>
    </row>
    <row r="14" ht="13" customHeight="1" s="173">
      <c r="B14" s="130" t="inlineStr">
        <is>
          <t>총액</t>
        </is>
      </c>
      <c r="C14" s="131">
        <f>C11+C12-C13</f>
        <v/>
      </c>
      <c r="D14" s="132" t="n"/>
      <c r="E14" s="133" t="n"/>
      <c r="F14" s="133" t="n"/>
      <c r="G14" s="134" t="n"/>
    </row>
    <row r="16" ht="24.75" customHeight="1" s="173">
      <c r="B16" s="114" t="inlineStr">
        <is>
          <t>■ 영상 편당 단가</t>
        </is>
      </c>
      <c r="F16" s="113" t="n"/>
    </row>
    <row r="17" ht="13" customHeight="1" s="173">
      <c r="B17" s="135" t="inlineStr">
        <is>
          <t>항목</t>
        </is>
      </c>
      <c r="C17" s="135" t="inlineStr">
        <is>
          <t>금액</t>
        </is>
      </c>
      <c r="D17" s="135" t="inlineStr">
        <is>
          <t>비고</t>
        </is>
      </c>
      <c r="E17" s="244" t="n"/>
      <c r="F17" s="244" t="n"/>
      <c r="G17" s="245" t="n"/>
    </row>
    <row r="18" ht="106.5" customHeight="1" s="173">
      <c r="B18" s="136" t="inlineStr">
        <is>
          <t>[영상1]
미션 기반 
팀콘텐츠</t>
        </is>
      </c>
      <c r="C18" s="137" t="inlineStr">
        <is>
          <t>편 당 810,000</t>
        </is>
      </c>
      <c r="D18" s="136" t="inlineStr">
        <is>
          <t>- 국순당 팀과 동행하며 여러 공간에서 촬영 이루어질 예정 (이동형+고정형)
- 향후 효율화를 고려하여 [촬영지원]비용에서 추가할인하여 비용 산정
*산식 ₩800,000(기본가)*0.8 (초기 논의 기반 템플릿화20%할인*추가할인 0.75 
= 편당 촬영지원비 ₩480,000
- 기획/시나리오, 편집비용은 위 단가 참조
* 시리즈 종류 관계없이 촬영비에 대해서는 30건 기준 640만원 
  (편당 ₩210,000, 기본가 대비 30% 할인된 금액) 적용</t>
        </is>
      </c>
      <c r="E18" s="244" t="n"/>
      <c r="F18" s="244" t="n"/>
      <c r="G18" s="245" t="n"/>
    </row>
    <row r="19" ht="13" customHeight="1" s="173">
      <c r="B19" s="136" t="inlineStr">
        <is>
          <t xml:space="preserve">[영상2]
업무 관련
브이로그
콘텐츠 </t>
        </is>
      </c>
      <c r="C19" s="137" t="inlineStr">
        <is>
          <t>편 당 390,000</t>
        </is>
      </c>
      <c r="D19" s="136" t="inlineStr">
        <is>
          <t>- 장비대여 및 촬영가이드로 촬영 대체</t>
        </is>
      </c>
      <c r="E19" s="244" t="n"/>
      <c r="F19" s="244" t="n"/>
      <c r="G19" s="245" t="n"/>
    </row>
  </sheetData>
  <mergeCells count="17">
    <mergeCell ref="D18:G18"/>
    <mergeCell ref="D17:G17"/>
    <mergeCell ref="D12:G12"/>
    <mergeCell ref="F3:I3"/>
    <mergeCell ref="F4:I4"/>
    <mergeCell ref="C4:E4"/>
    <mergeCell ref="L6:L7"/>
    <mergeCell ref="J6:J7"/>
    <mergeCell ref="K6:K7"/>
    <mergeCell ref="D19:G19"/>
    <mergeCell ref="D13:G13"/>
    <mergeCell ref="D11:G11"/>
    <mergeCell ref="D10:G10"/>
    <mergeCell ref="B3:B5"/>
    <mergeCell ref="C3:E3"/>
    <mergeCell ref="J3:L3"/>
    <mergeCell ref="J4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B4:H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7.33203125" customWidth="1" style="173" min="1" max="1"/>
    <col width="14.83203125" customWidth="1" style="173" min="2" max="2"/>
    <col width="33.6640625" customWidth="1" style="173" min="3" max="3"/>
    <col width="8.33203125" customWidth="1" style="173" min="5" max="5"/>
    <col width="3.6640625" customWidth="1" style="173" min="6" max="6"/>
    <col width="15.6640625" customWidth="1" style="173" min="7" max="7"/>
    <col width="78.33203125" customWidth="1" style="173" min="8" max="8"/>
  </cols>
  <sheetData>
    <row r="4" ht="22.5" customHeight="1" s="173">
      <c r="B4" s="93" t="inlineStr">
        <is>
          <t>구분</t>
        </is>
      </c>
      <c r="C4" s="93" t="inlineStr">
        <is>
          <t>항목</t>
        </is>
      </c>
      <c r="D4" s="93" t="inlineStr">
        <is>
          <t>단가</t>
        </is>
      </c>
      <c r="E4" s="93" t="inlineStr">
        <is>
          <t>수량</t>
        </is>
      </c>
      <c r="F4" s="94" t="inlineStr">
        <is>
          <t>-</t>
        </is>
      </c>
      <c r="G4" s="93" t="inlineStr">
        <is>
          <t>합계 (₩)</t>
        </is>
      </c>
      <c r="H4" s="93" t="inlineStr">
        <is>
          <t>비고</t>
        </is>
      </c>
    </row>
    <row r="5" ht="22.5" customHeight="1" s="173">
      <c r="B5" s="95" t="inlineStr">
        <is>
          <t>8월 청구분</t>
        </is>
      </c>
      <c r="C5" s="110" t="inlineStr">
        <is>
          <t>사전 기획료 및 디자인 비용</t>
        </is>
      </c>
      <c r="D5" s="97" t="inlineStr">
        <is>
          <t>-</t>
        </is>
      </c>
      <c r="E5" s="97" t="inlineStr">
        <is>
          <t>-</t>
        </is>
      </c>
      <c r="F5" s="98" t="n"/>
      <c r="G5" s="98" t="n">
        <v>2000000</v>
      </c>
      <c r="H5" s="97" t="inlineStr">
        <is>
          <t>초기 기획 및 디자인 비용 (고정비) ₩3,000,000
* 사전할인 ₩1,000,000 적용</t>
        </is>
      </c>
    </row>
    <row r="6" ht="22.5" customHeight="1" s="173">
      <c r="B6" s="138" t="n"/>
      <c r="C6" s="101" t="inlineStr">
        <is>
          <t>소계</t>
        </is>
      </c>
      <c r="D6" s="101" t="n"/>
      <c r="E6" s="101" t="n"/>
      <c r="F6" s="102" t="n"/>
      <c r="G6" s="102" t="n">
        <v>2000000</v>
      </c>
      <c r="H6" s="101" t="inlineStr">
        <is>
          <t>VAT 별도</t>
        </is>
      </c>
    </row>
    <row r="7" ht="22.5" customHeight="1" s="173">
      <c r="B7" s="95" t="inlineStr">
        <is>
          <t xml:space="preserve">9월 청구분 </t>
        </is>
      </c>
      <c r="C7" s="110" t="inlineStr">
        <is>
          <t>촬영지원 (로케이션 단위로 구분 / 크후팀 동행)</t>
        </is>
      </c>
      <c r="D7" s="111" t="n">
        <v>480000</v>
      </c>
      <c r="E7" s="139" t="n">
        <v>9</v>
      </c>
      <c r="F7" s="140" t="inlineStr">
        <is>
          <t>회</t>
        </is>
      </c>
      <c r="G7" s="111">
        <f>D7*E7</f>
        <v/>
      </c>
      <c r="H7" s="97" t="inlineStr">
        <is>
          <t>촬영일 상세
-. 국순당x크후 : 9/16(KT&amp;엘몰리노), 9/17(KT&amp;라까예), 9/22(KT&amp;샥슈카), 9/30(용용선생, 크리스피포크타운)
-. 크후x에디터 : 9/26(길거리인터뷰,건대)</t>
        </is>
      </c>
    </row>
    <row r="8" ht="22.5" customHeight="1" s="173">
      <c r="B8" s="99" t="n"/>
      <c r="C8" s="141" t="inlineStr">
        <is>
          <t>시나리오 기획 및 편집비 (제작완료 기준)</t>
        </is>
      </c>
      <c r="D8" s="111">
        <f>D9+D10</f>
        <v/>
      </c>
      <c r="E8" s="110" t="n">
        <v>13</v>
      </c>
      <c r="F8" s="111" t="inlineStr">
        <is>
          <t>편</t>
        </is>
      </c>
      <c r="G8" s="111">
        <f>D8*E8</f>
        <v/>
      </c>
      <c r="H8" s="97" t="inlineStr">
        <is>
          <t>제작 완료 분량, 총 13건 → 10월 내 업로드 완료 예정</t>
        </is>
      </c>
    </row>
    <row r="9" ht="22.5" customHeight="1" s="173">
      <c r="B9" s="99" t="n"/>
      <c r="C9" s="103" t="inlineStr">
        <is>
          <t>세부 내역 (1) 시나리오 기획</t>
        </is>
      </c>
      <c r="D9" s="98" t="n">
        <v>120000</v>
      </c>
      <c r="E9" s="97" t="n">
        <v>13</v>
      </c>
      <c r="F9" s="98" t="inlineStr">
        <is>
          <t>편</t>
        </is>
      </c>
      <c r="G9" s="98">
        <f>D9*E9</f>
        <v/>
      </c>
      <c r="H9" s="97" t="n"/>
    </row>
    <row r="10" ht="22.5" customHeight="1" s="173">
      <c r="B10" s="99" t="n"/>
      <c r="C10" s="103" t="inlineStr">
        <is>
          <t>세부 내역 (2) 편집</t>
        </is>
      </c>
      <c r="D10" s="98">
        <f>300000*0.7</f>
        <v/>
      </c>
      <c r="E10" s="97" t="n">
        <v>13</v>
      </c>
      <c r="F10" s="98" t="inlineStr">
        <is>
          <t>편</t>
        </is>
      </c>
      <c r="G10" s="98">
        <f>D10*E10</f>
        <v/>
      </c>
      <c r="H10" s="97" t="inlineStr">
        <is>
          <t>*계약 시 협의한 할인비율에 따라 기본가(30만원) 기준 30% 할인 적용</t>
        </is>
      </c>
    </row>
    <row r="11" ht="22.5" customHeight="1" s="173">
      <c r="B11" s="99" t="n"/>
      <c r="C11" s="105" t="inlineStr">
        <is>
          <t>제작실비</t>
        </is>
      </c>
      <c r="D11" s="106" t="n"/>
      <c r="E11" s="106" t="n"/>
      <c r="F11" s="107" t="n"/>
      <c r="G11" s="107" t="n">
        <v>85800</v>
      </c>
      <c r="H11" s="108" t="inlineStr">
        <is>
          <t>*촬영 및 제작에 사용한 카드사용내역분 (내역 상세 PPT로 별도 전달)</t>
        </is>
      </c>
    </row>
    <row r="12" ht="22.5" customHeight="1" s="173">
      <c r="B12" s="109" t="n"/>
      <c r="C12" s="101" t="inlineStr">
        <is>
          <t>소계</t>
        </is>
      </c>
      <c r="D12" s="101" t="n"/>
      <c r="E12" s="101" t="n"/>
      <c r="F12" s="102" t="n"/>
      <c r="G12" s="102">
        <f>G7+G8+G11</f>
        <v/>
      </c>
      <c r="H12" s="101" t="inlineStr">
        <is>
          <t>VAT 별도</t>
        </is>
      </c>
    </row>
    <row r="13" ht="22.5" customHeight="1" s="173">
      <c r="B13" s="95" t="inlineStr">
        <is>
          <t>청구 합계</t>
        </is>
      </c>
      <c r="C13" s="110" t="inlineStr">
        <is>
          <t>월 청구분 합계 (8월+9월)</t>
        </is>
      </c>
      <c r="D13" s="110" t="n"/>
      <c r="E13" s="110" t="n"/>
      <c r="F13" s="111" t="n"/>
      <c r="G13" s="111">
        <f>G6+G12</f>
        <v/>
      </c>
      <c r="H13" s="97" t="inlineStr">
        <is>
          <t>VAT 별도</t>
        </is>
      </c>
    </row>
    <row r="15" ht="13" customHeight="1" s="173">
      <c r="B15" s="113" t="inlineStr">
        <is>
          <t>촬영단위 재정의</t>
        </is>
      </c>
    </row>
    <row r="16" ht="13" customHeight="1" s="173">
      <c r="B16" s="73" t="inlineStr">
        <is>
          <t>하루에 촬영하더라도 콘셉트·로케이션·구성이 달라지는 세그먼트는 별도 촬영단위로 간주합니다. 따라서 9월 촬영에는 촬영일 5일이 아닌, 촬영로케이션/구성이 달라지는 9회 촬영으로 적용합니다. 
이 방식은 기획 유동성과 세팅 전환 리소스를 가능한 명확하게 반영하고, 기존 합의된 편당 구조(선반영 효율화 할인)를 유지하는 안입니다.</t>
        </is>
      </c>
    </row>
    <row r="17" ht="20.25" customHeight="1" s="173">
      <c r="B17" s="113" t="inlineStr">
        <is>
          <t>[편집] 비용 산정 기준 (아래 상세에 기획/편집으로 표기)</t>
        </is>
      </c>
    </row>
    <row r="18" ht="20.25" customHeight="1" s="173">
      <c r="B18" s="73" t="inlineStr">
        <is>
          <t>해당 월에 산정되는 편집 산출물 기준은 '제작완료' 기준에 따르며, 추후 수정은 제작완료 및 비용 반영 이후에도 업로드되기 전까지 자유롭게 진행한다.</t>
        </is>
      </c>
    </row>
    <row r="19" ht="13" customHeight="1" s="173">
      <c r="B19" s="113" t="inlineStr">
        <is>
          <t>[시나리오 기획] 비용 산정 기준</t>
        </is>
      </c>
    </row>
    <row r="20" ht="13" customHeight="1" s="173">
      <c r="B20" s="73" t="inlineStr">
        <is>
          <t>- 편집과정을 거쳐 제작완료된 경우 (수정여부와는 무관), 기획/편집으로 표기하고 시나리오 기획 및 편집비까지 반영된 비용으로 반영
- 기획되어 촬영까지 진행되었으나, 해당 월에 편집산출물이 나오지 않은 상태는 기획으로 표기하고, 시나리오기획비만 추가 반영</t>
        </is>
      </c>
    </row>
  </sheetData>
  <dataValidations count="1">
    <dataValidation sqref="G5:G13" showDropDown="1" showInputMessage="0" showErrorMessage="0" allowBlank="1" type="custom">
      <formula1>AND(ISNUMBER(G5),(NOT(OR(NOT(ISERROR(DATEVALUE(G5))), AND(ISNUMBER(G5), LEFT(CELL("format", G5))="D")))))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B4:H2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7.33203125" customWidth="1" style="173" min="1" max="1"/>
    <col width="17.5" customWidth="1" style="173" min="2" max="2"/>
    <col width="33.6640625" customWidth="1" style="173" min="3" max="3"/>
    <col width="8.33203125" customWidth="1" style="173" min="5" max="5"/>
    <col width="3.6640625" customWidth="1" style="173" min="6" max="6"/>
    <col width="15.6640625" customWidth="1" style="173" min="7" max="7"/>
    <col width="78.33203125" customWidth="1" style="173" min="8" max="8"/>
  </cols>
  <sheetData>
    <row r="4" ht="22.5" customHeight="1" s="173">
      <c r="B4" s="93" t="inlineStr">
        <is>
          <t>구분</t>
        </is>
      </c>
      <c r="C4" s="93" t="inlineStr">
        <is>
          <t>항목</t>
        </is>
      </c>
      <c r="D4" s="93" t="inlineStr">
        <is>
          <t>단가</t>
        </is>
      </c>
      <c r="E4" s="93" t="inlineStr">
        <is>
          <t>수량</t>
        </is>
      </c>
      <c r="F4" s="94" t="inlineStr">
        <is>
          <t>-</t>
        </is>
      </c>
      <c r="G4" s="93" t="inlineStr">
        <is>
          <t>합계 (₩)</t>
        </is>
      </c>
      <c r="H4" s="93" t="inlineStr">
        <is>
          <t>비고</t>
        </is>
      </c>
    </row>
    <row r="5" ht="22.5" customHeight="1" s="173">
      <c r="B5" s="95" t="inlineStr">
        <is>
          <t xml:space="preserve">10월 청구분 </t>
        </is>
      </c>
      <c r="C5" s="110" t="inlineStr">
        <is>
          <t>촬영지원 (로케이션 단위로 구분 / 크후팀 동행)</t>
        </is>
      </c>
      <c r="D5" s="111" t="n">
        <v>480000</v>
      </c>
      <c r="E5" s="139" t="n">
        <v>6</v>
      </c>
      <c r="F5" s="140" t="inlineStr">
        <is>
          <t>회</t>
        </is>
      </c>
      <c r="G5" s="111">
        <f>D5*E5</f>
        <v/>
      </c>
      <c r="H5" s="97" t="inlineStr">
        <is>
          <t>촬영일 상세
 - 10/16 실내 (1)
 - 10/21 실내 / 별도 로이킴바이럴 당일 촬영 (2)
 - 10/28 실내 (1) 
 - 10/29 실내 / 페스카데리아 (2)</t>
        </is>
      </c>
    </row>
    <row r="6" ht="22.5" customHeight="1" s="173">
      <c r="B6" s="99" t="n"/>
      <c r="C6" s="141" t="inlineStr">
        <is>
          <t>시나리오 기획 및 편집비 (제작완료 기준)</t>
        </is>
      </c>
      <c r="D6" s="111">
        <f>D7+D8</f>
        <v/>
      </c>
      <c r="E6" s="110" t="n">
        <v>7</v>
      </c>
      <c r="F6" s="111" t="inlineStr">
        <is>
          <t>편</t>
        </is>
      </c>
      <c r="G6" s="111">
        <f>G7+G8</f>
        <v/>
      </c>
      <c r="H6" s="97" t="inlineStr">
        <is>
          <t>제작완료분 
- EP 11~12 
- 외전 4~7 
- 로이킴 바이럴</t>
        </is>
      </c>
    </row>
    <row r="7" ht="22.5" customHeight="1" s="173">
      <c r="B7" s="99" t="n"/>
      <c r="C7" s="103" t="inlineStr">
        <is>
          <t>세부 내역 (1) 시나리오 기획</t>
        </is>
      </c>
      <c r="D7" s="98" t="n">
        <v>120000</v>
      </c>
      <c r="E7" s="97" t="n">
        <v>16</v>
      </c>
      <c r="F7" s="98" t="inlineStr">
        <is>
          <t>편</t>
        </is>
      </c>
      <c r="G7" s="98">
        <f>D7*E7</f>
        <v/>
      </c>
      <c r="H7" s="97" t="inlineStr">
        <is>
          <t>제작완료분(7) 외 : EP13~20, 외전 8</t>
        </is>
      </c>
    </row>
    <row r="8" ht="22.5" customHeight="1" s="173">
      <c r="B8" s="99" t="n"/>
      <c r="C8" s="103" t="inlineStr">
        <is>
          <t>세부 내역 (2) 편집</t>
        </is>
      </c>
      <c r="D8" s="98">
        <f>300000*0.7</f>
        <v/>
      </c>
      <c r="E8" s="97" t="n">
        <v>7</v>
      </c>
      <c r="F8" s="98" t="inlineStr">
        <is>
          <t>편</t>
        </is>
      </c>
      <c r="G8" s="98">
        <f>D8*E8</f>
        <v/>
      </c>
      <c r="H8" s="97" t="inlineStr">
        <is>
          <t>*계약 시 협의한 할인비율에 따라 기본가(30만원) 기준 30% 할인 적용</t>
        </is>
      </c>
    </row>
    <row r="9" ht="22.5" customHeight="1" s="173">
      <c r="B9" s="99" t="n"/>
      <c r="C9" s="105" t="inlineStr">
        <is>
          <t>제작실비</t>
        </is>
      </c>
      <c r="D9" s="106" t="n"/>
      <c r="E9" s="106" t="n"/>
      <c r="F9" s="107" t="n"/>
      <c r="G9" s="107">
        <f>58104+472272+26657</f>
        <v/>
      </c>
      <c r="H9" s="108" t="inlineStr">
        <is>
          <t>*촬영 및 제작에 사용한 카드사용내역분 (내역 상세 PPT로 별도 전달)</t>
        </is>
      </c>
    </row>
    <row r="10" ht="22.5" customHeight="1" s="173">
      <c r="B10" s="109" t="n"/>
      <c r="C10" s="101" t="inlineStr">
        <is>
          <t>소계</t>
        </is>
      </c>
      <c r="D10" s="101" t="n"/>
      <c r="E10" s="101" t="n"/>
      <c r="F10" s="102" t="n"/>
      <c r="G10" s="102">
        <f>G5+G6+G9</f>
        <v/>
      </c>
      <c r="H10" s="101" t="inlineStr">
        <is>
          <t>VAT 별도</t>
        </is>
      </c>
    </row>
    <row r="11" ht="22.5" customHeight="1" s="173">
      <c r="B11" s="95" t="inlineStr">
        <is>
          <t>청구 합계</t>
        </is>
      </c>
      <c r="C11" s="110" t="inlineStr">
        <is>
          <t>월 청구분 합계 (10월)</t>
        </is>
      </c>
      <c r="D11" s="110" t="n"/>
      <c r="E11" s="110" t="n"/>
      <c r="F11" s="111" t="n"/>
      <c r="G11" s="111">
        <f>G10</f>
        <v/>
      </c>
      <c r="H11" s="97" t="inlineStr">
        <is>
          <t>VAT 별도</t>
        </is>
      </c>
    </row>
    <row r="13" ht="13" customHeight="1" s="173">
      <c r="B13" s="113" t="inlineStr">
        <is>
          <t>촬영단위 재정의</t>
        </is>
      </c>
    </row>
    <row r="14" ht="13" customHeight="1" s="173">
      <c r="B14" s="73" t="inlineStr">
        <is>
          <t>하루에 촬영하더라도 콘셉트·로케이션·구성이 달라지는 세그먼트는 별도 촬영단위로 간주합니다. 따라서 9월 촬영에는 촬영일 5일이 아닌, 촬영로케이션/구성이 달라지는 9회 촬영으로 적용합니다. 
이 방식은 기획 유동성과 세팅 전환 리소스를 가능한 명확하게 반영하고, 기존 합의된 편당 구조(선반영 효율화 할인)를 유지하는 안입니다.</t>
        </is>
      </c>
    </row>
    <row r="15" ht="20.25" customHeight="1" s="173">
      <c r="B15" s="113" t="inlineStr">
        <is>
          <t>[편집] 비용 산정 기준 (아래 상세에 기획/편집으로 표기)</t>
        </is>
      </c>
    </row>
    <row r="16" ht="20.25" customHeight="1" s="173">
      <c r="B16" s="73" t="inlineStr">
        <is>
          <t>해당 월에 산정되는 편집 산출물 기준은 '제작완료' 기준에 따르며, 추후 수정은 제작완료 및 비용 반영 이후에도 업로드되기 전까지 자유롭게 진행한다.</t>
        </is>
      </c>
    </row>
    <row r="17" ht="20.25" customHeight="1" s="173">
      <c r="B17" s="113" t="inlineStr">
        <is>
          <t>[시나리오 기획] 비용 산정 기준</t>
        </is>
      </c>
    </row>
    <row r="18" ht="13" customHeight="1" s="173">
      <c r="B18" s="73" t="inlineStr">
        <is>
          <t>사전제작 이후부터는 기획-촬영-편집에 타임라인 상 간극이 발생하므로 아래와 같이 반영
- 편집과정을 거쳐 제작완료된 경우 (수정여부와는 무관), 기획/편집으로 표기하고 시나리오 기획 및 편집비까지 반영된 비용으로 반영
- 기획되어 촬영까지 진행되었으나, 해당 월에 편집산출물이 나오지 않은 상태는 기획으로 표기하고, 시나리오기획비만 추가 반영</t>
        </is>
      </c>
    </row>
    <row r="19" ht="20.25" customHeight="1" s="173"/>
    <row r="20" ht="20.25" customHeight="1" s="173">
      <c r="B20" s="113" t="inlineStr">
        <is>
          <t>(참고) 누적 반영분 상세</t>
        </is>
      </c>
    </row>
    <row r="21" ht="13" customHeight="1" s="173">
      <c r="B21" s="113" t="inlineStr">
        <is>
          <t>2025.08/09 반영분</t>
        </is>
      </c>
      <c r="C21" s="73" t="inlineStr">
        <is>
          <t>수정된 EP 기준 EP1~10, 외전 1~3</t>
        </is>
      </c>
      <c r="D21" s="73" t="n">
        <v>13</v>
      </c>
      <c r="E21" s="73" t="inlineStr">
        <is>
          <t>기획/편집</t>
        </is>
      </c>
    </row>
    <row r="22" ht="13" customHeight="1" s="173">
      <c r="C22" s="73" t="inlineStr">
        <is>
          <t>-. 국순당x크후 : 9/16(KT&amp;엘몰리노), 9/17(KT&amp;라까예), 9/22(KT&amp;샥슈카), 9/30(용용선생, 크리스피포크타운)
-. 크후x에디터 : 9/26(길거리인터뷰,건대)</t>
        </is>
      </c>
      <c r="D22" s="73" t="n">
        <v>9</v>
      </c>
      <c r="E22" s="73" t="inlineStr">
        <is>
          <t>촬영</t>
        </is>
      </c>
    </row>
    <row r="23" ht="13" customHeight="1" s="173">
      <c r="B23" s="113" t="inlineStr">
        <is>
          <t>2025.10 반영분</t>
        </is>
      </c>
      <c r="C23" s="73" t="inlineStr">
        <is>
          <t>외전4~5(떡볶이 페스티벌)</t>
        </is>
      </c>
      <c r="D23" s="73" t="n">
        <v>2</v>
      </c>
      <c r="E23" s="73" t="inlineStr">
        <is>
          <t>기획/편집</t>
        </is>
      </c>
    </row>
    <row r="24" ht="13" customHeight="1" s="173">
      <c r="C24" s="73" t="inlineStr">
        <is>
          <t>EP11~12 / 외전 6~7</t>
        </is>
      </c>
      <c r="D24" s="73" t="n">
        <v>4</v>
      </c>
      <c r="E24" s="73" t="inlineStr">
        <is>
          <t>기획/편집</t>
        </is>
      </c>
    </row>
    <row r="25" ht="13" customHeight="1" s="173">
      <c r="C25" s="73" t="inlineStr">
        <is>
          <t>로이킴 바이럴</t>
        </is>
      </c>
      <c r="D25" s="73" t="n">
        <v>1</v>
      </c>
      <c r="E25" s="73" t="inlineStr">
        <is>
          <t>기획/편집</t>
        </is>
      </c>
    </row>
    <row r="26" ht="13" customHeight="1" s="173">
      <c r="C26" s="73" t="inlineStr">
        <is>
          <t xml:space="preserve"> - 10/16 실내 (1)
 - 10/21 실내 / 별도 로이킴 당일 촬영 (2)
 - 10/28 실내 (1) 
 - 10/29 실내 / 페스카데리아 (2)</t>
        </is>
      </c>
      <c r="D26" s="73" t="n">
        <v>6</v>
      </c>
      <c r="E26" s="73" t="inlineStr">
        <is>
          <t>촬영</t>
        </is>
      </c>
    </row>
    <row r="27" ht="13" customHeight="1" s="173">
      <c r="C27" s="73" t="inlineStr">
        <is>
          <t>EP13~20, 외전 8</t>
        </is>
      </c>
      <c r="D27" s="73" t="n">
        <v>9</v>
      </c>
      <c r="E27" s="73" t="inlineStr">
        <is>
          <t>기획</t>
        </is>
      </c>
    </row>
  </sheetData>
  <dataValidations count="1">
    <dataValidation sqref="G5:G11" showDropDown="1" showInputMessage="0" showErrorMessage="0" allowBlank="1" type="custom">
      <formula1>AND(ISNUMBER(G5),(NOT(OR(NOT(ISERROR(DATEVALUE(G5))), AND(ISNUMBER(G5), LEFT(CELL("format", G5))="D")))))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B4:H2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7.33203125" customWidth="1" style="173" min="1" max="1"/>
    <col width="17.5" customWidth="1" style="173" min="2" max="2"/>
    <col width="33.6640625" customWidth="1" style="173" min="3" max="3"/>
    <col width="8.33203125" customWidth="1" style="173" min="5" max="5"/>
    <col width="3.6640625" customWidth="1" style="173" min="6" max="6"/>
    <col width="15.6640625" customWidth="1" style="173" min="7" max="7"/>
    <col width="78.33203125" customWidth="1" style="173" min="8" max="8"/>
  </cols>
  <sheetData>
    <row r="4" ht="22.5" customHeight="1" s="173">
      <c r="B4" s="93" t="inlineStr">
        <is>
          <t>구분</t>
        </is>
      </c>
      <c r="C4" s="93" t="inlineStr">
        <is>
          <t>항목</t>
        </is>
      </c>
      <c r="D4" s="93" t="inlineStr">
        <is>
          <t>단가</t>
        </is>
      </c>
      <c r="E4" s="93" t="inlineStr">
        <is>
          <t>수량</t>
        </is>
      </c>
      <c r="F4" s="94" t="inlineStr">
        <is>
          <t>-</t>
        </is>
      </c>
      <c r="G4" s="93" t="inlineStr">
        <is>
          <t>합계 (₩)</t>
        </is>
      </c>
      <c r="H4" s="93" t="inlineStr">
        <is>
          <t>비고</t>
        </is>
      </c>
    </row>
    <row r="5" ht="22.5" customHeight="1" s="173">
      <c r="B5" s="95" t="inlineStr">
        <is>
          <t xml:space="preserve">11월 청구분 </t>
        </is>
      </c>
      <c r="C5" s="110" t="inlineStr">
        <is>
          <t>촬영지원 (로케이션 단위로 구분 / 크후팀 동행)</t>
        </is>
      </c>
      <c r="D5" s="111" t="n">
        <v>480000</v>
      </c>
      <c r="E5" s="139" t="n">
        <v>5</v>
      </c>
      <c r="F5" s="140" t="inlineStr">
        <is>
          <t>회</t>
        </is>
      </c>
      <c r="G5" s="111">
        <f>D5*E5</f>
        <v/>
      </c>
      <c r="H5" s="97" t="inlineStr">
        <is>
          <t>촬영일 상세
 - 11/18 실내 (1)
 - 11/20 페스카데리아 인터뷰 (1)
 - 11/21 대표님 촬영
 - 11/26 경동시장 / 대학교 (2)</t>
        </is>
      </c>
    </row>
    <row r="6" ht="22.5" customHeight="1" s="173">
      <c r="B6" s="99" t="n"/>
      <c r="C6" s="141" t="inlineStr">
        <is>
          <t>시나리오 기획 및 편집비 (제작완료 기준)</t>
        </is>
      </c>
      <c r="D6" s="111" t="n"/>
      <c r="E6" s="110" t="n"/>
      <c r="F6" s="111" t="inlineStr">
        <is>
          <t>편</t>
        </is>
      </c>
      <c r="G6" s="111">
        <f>G7+G8</f>
        <v/>
      </c>
    </row>
    <row r="7" ht="22.5" customHeight="1" s="173">
      <c r="B7" s="99" t="n"/>
      <c r="C7" s="103" t="inlineStr">
        <is>
          <t>세부 내역 (1) 시나리오 기획</t>
        </is>
      </c>
      <c r="D7" s="98" t="n">
        <v>120000</v>
      </c>
      <c r="E7" s="97" t="n">
        <v>9</v>
      </c>
      <c r="F7" s="98" t="inlineStr">
        <is>
          <t>편</t>
        </is>
      </c>
      <c r="G7" s="98">
        <f>D7*E7</f>
        <v/>
      </c>
      <c r="H7" s="97" t="inlineStr">
        <is>
          <t>외전7-12, 제외분, Ep. 21~22</t>
        </is>
      </c>
    </row>
    <row r="8" ht="22.5" customHeight="1" s="173">
      <c r="B8" s="99" t="n"/>
      <c r="C8" s="103" t="inlineStr">
        <is>
          <t>세부 내역 (2) 편집</t>
        </is>
      </c>
      <c r="D8" s="98">
        <f>300000*0.7</f>
        <v/>
      </c>
      <c r="E8" s="97" t="n">
        <v>15</v>
      </c>
      <c r="F8" s="98" t="inlineStr">
        <is>
          <t>편</t>
        </is>
      </c>
      <c r="G8" s="98">
        <f>D8*E8</f>
        <v/>
      </c>
      <c r="H8" s="97" t="inlineStr">
        <is>
          <t>EP13~EP22, 외전7-10, 제외분
*1 (외전7) 10월 반영된 외전7이 EP15로 변경됨에 따라 기존 외전8부터 번호가 하나씩 -1 이동
*2 ((제외) | 진행상황과 현재까지의 소감) | 편집, 제작완료되었으나 업로드 시 드랍처리됨
* 계약 시 협의한 할인비율에 따라 기본가(30만원) 기준 30% 할인 적용</t>
        </is>
      </c>
    </row>
    <row r="9" ht="22.5" customHeight="1" s="173">
      <c r="B9" s="99" t="n"/>
      <c r="C9" s="105" t="inlineStr">
        <is>
          <t>제작실비</t>
        </is>
      </c>
      <c r="D9" s="106" t="n"/>
      <c r="E9" s="106" t="n"/>
      <c r="F9" s="107" t="n"/>
      <c r="G9" s="107">
        <f>59517+310106+435077</f>
        <v/>
      </c>
      <c r="H9" s="108" t="inlineStr">
        <is>
          <t>Figma 월 구독료 ₩59,517
SSD 허브 + M.2 SSD 구매 ₩159106+₩151,000 = ₩310,106
AI 활용 Higgsfield 이용권 구매 ₩435,077 
*촬영 및 제작에 사용한 카드사용내역분 (내역 상세 PPT로 별도 전달)</t>
        </is>
      </c>
    </row>
    <row r="10" ht="22.5" customHeight="1" s="173">
      <c r="B10" s="109" t="n"/>
      <c r="C10" s="101" t="inlineStr">
        <is>
          <t>소계</t>
        </is>
      </c>
      <c r="D10" s="101" t="n"/>
      <c r="E10" s="101" t="n"/>
      <c r="F10" s="102" t="n"/>
      <c r="G10" s="102">
        <f>G5+G6+G9</f>
        <v/>
      </c>
      <c r="H10" s="101" t="inlineStr">
        <is>
          <t>VAT 별도</t>
        </is>
      </c>
    </row>
    <row r="11" ht="22.5" customHeight="1" s="173">
      <c r="B11" s="95" t="inlineStr">
        <is>
          <t>청구 합계</t>
        </is>
      </c>
      <c r="C11" s="110" t="inlineStr">
        <is>
          <t>월 청구분 합계 (11월)</t>
        </is>
      </c>
      <c r="D11" s="110" t="n"/>
      <c r="E11" s="110" t="n"/>
      <c r="F11" s="111" t="n"/>
      <c r="G11" s="111">
        <f>G10</f>
        <v/>
      </c>
      <c r="H11" s="97" t="inlineStr">
        <is>
          <t>VAT 별도</t>
        </is>
      </c>
    </row>
    <row r="13" ht="13" customHeight="1" s="173">
      <c r="B13" s="113" t="inlineStr">
        <is>
          <t>촬영단위 재정의</t>
        </is>
      </c>
    </row>
    <row r="14" ht="13" customHeight="1" s="173">
      <c r="B14" s="73" t="inlineStr">
        <is>
          <t>하루에 촬영하더라도 콘셉트·로케이션·구성이 달라지는 세그먼트는 별도 촬영단위로 간주합니다. 따라서 9월 촬영에는 촬영일 5일이 아닌, 촬영로케이션/구성이 달라지는 9회 촬영으로 적용합니다. 
이 방식은 기획 유동성과 세팅 전환 리소스를 가능한 명확하게 반영하고, 기존 합의된 편당 구조(선반영 효율화 할인)를 유지하는 안입니다.</t>
        </is>
      </c>
    </row>
    <row r="15" ht="20.25" customHeight="1" s="173">
      <c r="B15" s="113" t="inlineStr">
        <is>
          <t>[편집] 비용 산정 기준 (아래 상세에 기획/편집으로 표기)</t>
        </is>
      </c>
    </row>
    <row r="16" ht="20.25" customHeight="1" s="173">
      <c r="B16" s="73" t="inlineStr">
        <is>
          <t>해당 월에 산정되는 편집 산출물 기준은 '제작완료' 기준에 따르며, 추후 수정은 제작완료 및 비용 반영 이후에도 업로드되기 전까지 자유롭게 진행한다.</t>
        </is>
      </c>
    </row>
    <row r="17" ht="20.25" customHeight="1" s="173">
      <c r="B17" s="113" t="inlineStr">
        <is>
          <t>[시나리오 기획] 비용 산정 기준</t>
        </is>
      </c>
    </row>
    <row r="18" ht="13" customHeight="1" s="173">
      <c r="B18" s="73" t="inlineStr">
        <is>
          <t>사전제작 이후부터는 기획-촬영-편집에 타임라인 상 간극이 발생하므로 아래와 같이 반영
- 편집과정을 거쳐 제작완료된 경우 (수정여부와는 무관), 기획/편집으로 표기하고 시나리오 기획 및 편집비까지 반영된 비용으로 반영
- 기획되어 촬영까지 진행되었으나, 해당 월에 편집산출물이 나오지 않은 상태는 기획으로 표기하고, 시나리오기획비만 추가 반영</t>
        </is>
      </c>
    </row>
    <row r="19" ht="20.25" customHeight="1" s="173"/>
    <row r="20" ht="20.25" customHeight="1" s="173">
      <c r="B20" s="113" t="inlineStr">
        <is>
          <t>(참고) 누적 반영분 상세</t>
        </is>
      </c>
    </row>
    <row r="21" ht="13" customHeight="1" s="173">
      <c r="B21" s="113" t="inlineStr">
        <is>
          <t>2025.08/09 반영분</t>
        </is>
      </c>
      <c r="C21" s="73" t="inlineStr">
        <is>
          <t>수정된 EP 기준 EP1~10, 외전 1~3</t>
        </is>
      </c>
      <c r="D21" s="73" t="n">
        <v>13</v>
      </c>
      <c r="E21" s="73" t="inlineStr">
        <is>
          <t>기획/편집</t>
        </is>
      </c>
    </row>
    <row r="22" ht="13" customHeight="1" s="173">
      <c r="C22" s="73" t="inlineStr">
        <is>
          <t>-. 국순당x크후 : 9/16(KT&amp;엘몰리노), 9/17(KT&amp;라까예), 9/22(KT&amp;샥슈카), 9/30(용용선생, 크리스피포크타운)
-. 크후x에디터 : 9/26(길거리인터뷰,건대)</t>
        </is>
      </c>
      <c r="D22" s="73" t="n">
        <v>9</v>
      </c>
      <c r="E22" s="73" t="inlineStr">
        <is>
          <t>촬영</t>
        </is>
      </c>
    </row>
    <row r="23" ht="13" customHeight="1" s="173">
      <c r="B23" s="113" t="inlineStr">
        <is>
          <t>2025.10 반영분</t>
        </is>
      </c>
      <c r="C23" s="73" t="inlineStr">
        <is>
          <t>외전4~5(떡볶이 페스티벌)</t>
        </is>
      </c>
      <c r="D23" s="73" t="n">
        <v>2</v>
      </c>
      <c r="E23" s="73" t="inlineStr">
        <is>
          <t>기획/편집</t>
        </is>
      </c>
    </row>
    <row r="24" ht="13" customHeight="1" s="173">
      <c r="C24" s="73" t="inlineStr">
        <is>
          <t>EP11~12 / 외전 6~7</t>
        </is>
      </c>
      <c r="D24" s="73" t="n">
        <v>4</v>
      </c>
      <c r="E24" s="73" t="inlineStr">
        <is>
          <t>기획/편집</t>
        </is>
      </c>
    </row>
    <row r="25" ht="13" customHeight="1" s="173">
      <c r="C25" s="73" t="inlineStr">
        <is>
          <t>로이킴 바이럴</t>
        </is>
      </c>
      <c r="D25" s="73" t="n">
        <v>1</v>
      </c>
      <c r="E25" s="73" t="inlineStr">
        <is>
          <t>기획/편집</t>
        </is>
      </c>
    </row>
    <row r="26" ht="13" customHeight="1" s="173">
      <c r="C26" s="73" t="inlineStr">
        <is>
          <t xml:space="preserve"> - 10/16 실내 (1)
 - 10/21 실내 / 별도 로이킴 당일 촬영 (2)
 - 10/28 실내 (1) 
 - 10/29 실내 / 페스카데리아 (2)</t>
        </is>
      </c>
      <c r="D26" s="73" t="n">
        <v>6</v>
      </c>
      <c r="E26" s="73" t="inlineStr">
        <is>
          <t>촬영</t>
        </is>
      </c>
    </row>
    <row r="27" ht="13" customHeight="1" s="173">
      <c r="C27" s="73" t="inlineStr">
        <is>
          <t>EP13~20, 외전 8</t>
        </is>
      </c>
      <c r="D27" s="73" t="n">
        <v>9</v>
      </c>
      <c r="E27" s="73" t="inlineStr">
        <is>
          <t>기획</t>
        </is>
      </c>
    </row>
    <row r="28" ht="13" customHeight="1" s="173">
      <c r="B28" s="113" t="inlineStr">
        <is>
          <t>2025.11 반영분</t>
        </is>
      </c>
      <c r="C28" s="73" t="inlineStr">
        <is>
          <t>외전7-12, 제외분, Ep. 21~22</t>
        </is>
      </c>
      <c r="D28" s="73" t="n">
        <v>9</v>
      </c>
      <c r="E28" s="73" t="inlineStr">
        <is>
          <t>편집</t>
        </is>
      </c>
    </row>
    <row r="29" ht="13" customHeight="1" s="173">
      <c r="C29" s="73" t="inlineStr">
        <is>
          <t>EP13~EP22, 외전7-10, 제외분
*1 (외전7) 10월 반영된 외전7이 EP15로 변경됨에 따라 기존 외전8부터 번호가 하나씩 -1 이동
*2 ((제외) | 진행상황과 현재까지의 소감) | 편집, 제작완료되었으나 업로드 시 드랍처리됨
* 계약 시 협의한 할인비율에 따라 기본가(30만원) 기준 30% 할인 적용</t>
        </is>
      </c>
      <c r="D29" s="73" t="n">
        <v>15</v>
      </c>
      <c r="E29" s="73" t="inlineStr">
        <is>
          <t>촬영</t>
        </is>
      </c>
    </row>
  </sheetData>
  <dataValidations count="1">
    <dataValidation sqref="G5:G11" showDropDown="1" showInputMessage="0" showErrorMessage="0" allowBlank="1" type="custom">
      <formula1>AND(ISNUMBER(G5),(NOT(OR(NOT(ISERROR(DATEVALUE(G5))), AND(ISNUMBER(G5), LEFT(CELL("format", G5))="D")))))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0" summaryRight="0"/>
    <pageSetUpPr fitToPage="1"/>
  </sheetPr>
  <dimension ref="B4:H2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7.33203125" customWidth="1" style="173" min="1" max="1"/>
    <col width="17.5" customWidth="1" style="173" min="2" max="2"/>
    <col width="33.6640625" customWidth="1" style="173" min="3" max="3"/>
    <col width="8.33203125" customWidth="1" style="173" min="5" max="5"/>
    <col width="3.6640625" customWidth="1" style="173" min="6" max="6"/>
    <col width="15.6640625" customWidth="1" style="173" min="7" max="7"/>
    <col width="78.33203125" customWidth="1" style="173" min="8" max="8"/>
  </cols>
  <sheetData>
    <row r="4" ht="22.5" customHeight="1" s="173">
      <c r="B4" s="93" t="inlineStr">
        <is>
          <t>구분</t>
        </is>
      </c>
      <c r="C4" s="93" t="inlineStr">
        <is>
          <t>항목</t>
        </is>
      </c>
      <c r="D4" s="93" t="inlineStr">
        <is>
          <t>단가</t>
        </is>
      </c>
      <c r="E4" s="93" t="inlineStr">
        <is>
          <t>수량</t>
        </is>
      </c>
      <c r="F4" s="94" t="inlineStr">
        <is>
          <t>-</t>
        </is>
      </c>
      <c r="G4" s="93" t="inlineStr">
        <is>
          <t>합계 (₩)</t>
        </is>
      </c>
      <c r="H4" s="93" t="inlineStr">
        <is>
          <t>비고</t>
        </is>
      </c>
    </row>
    <row r="5" ht="22.5" customHeight="1" s="173">
      <c r="B5" s="95" t="inlineStr">
        <is>
          <t xml:space="preserve">12월 청구분 </t>
        </is>
      </c>
      <c r="C5" s="110" t="inlineStr">
        <is>
          <t>촬영지원 (로케이션 단위로 구분 / 크후팀 동행)</t>
        </is>
      </c>
      <c r="D5" s="111" t="n">
        <v>480000</v>
      </c>
      <c r="E5" s="139" t="n">
        <v>6</v>
      </c>
      <c r="F5" s="140" t="inlineStr">
        <is>
          <t>회</t>
        </is>
      </c>
      <c r="G5" s="111">
        <f>D5*E5</f>
        <v/>
      </c>
      <c r="H5" s="97" t="inlineStr">
        <is>
          <t>촬영일 상세
(1) 12/4 with 페스카데리아 팀(EP23) 
(2) 공간소개 촬영 with 연정 (EP24)
12/12(금) 막코위크 오픈데이 | 3편 별도 리소스로 진행
 (3) 12/12-12/13 스케치 촬영 (수현 외 1인)
 (4) 막코위크 #2 촬영 (우석, 수현 외 1인) 
 (5) 막코위크 #3 방문객인터뷰 촬영 (우석+에디터 2인)
12/19 (금)
(6) After #1 종료 후 다음행보 촬영</t>
        </is>
      </c>
    </row>
    <row r="6" ht="22.5" customHeight="1" s="173">
      <c r="B6" s="99" t="n"/>
      <c r="C6" s="141" t="inlineStr">
        <is>
          <t>시나리오 기획 및 편집비 (제작완료 기준)</t>
        </is>
      </c>
      <c r="D6" s="111" t="n"/>
      <c r="E6" s="110" t="n"/>
      <c r="F6" s="111" t="inlineStr">
        <is>
          <t>편</t>
        </is>
      </c>
      <c r="G6" s="111">
        <f>G7+G8</f>
        <v/>
      </c>
    </row>
    <row r="7" ht="22.5" customHeight="1" s="173">
      <c r="B7" s="99" t="n"/>
      <c r="C7" s="103" t="inlineStr">
        <is>
          <t>세부 내역 (1) 시나리오 기획</t>
        </is>
      </c>
      <c r="D7" s="98" t="n">
        <v>120000</v>
      </c>
      <c r="E7" s="97" t="n">
        <v>11</v>
      </c>
      <c r="F7" s="98" t="inlineStr">
        <is>
          <t>편</t>
        </is>
      </c>
      <c r="G7" s="98">
        <f>D7*E7</f>
        <v/>
      </c>
      <c r="H7" s="97" t="inlineStr">
        <is>
          <t>Ep.23~25, 워크인 #1~#4, After #1~#4</t>
        </is>
      </c>
    </row>
    <row r="8" ht="22.5" customHeight="1" s="173">
      <c r="B8" s="99" t="n"/>
      <c r="C8" s="103" t="inlineStr">
        <is>
          <t>세부 내역 (2) 편집</t>
        </is>
      </c>
      <c r="D8" s="98">
        <f>300000*0.7</f>
        <v/>
      </c>
      <c r="E8" s="97" t="n">
        <v>13</v>
      </c>
      <c r="F8" s="98" t="inlineStr">
        <is>
          <t>편</t>
        </is>
      </c>
      <c r="G8" s="98">
        <f>D8*E8</f>
        <v/>
      </c>
      <c r="H8" s="97" t="inlineStr">
        <is>
          <t>EP23~25, 외전11-12, 워크인 #1~#4, After #1~#4
* 계약 시 협의한 할인비율에 따라 기본가(30만원) 기준 30% 할인 적용</t>
        </is>
      </c>
    </row>
    <row r="9" ht="22.5" customHeight="1" s="173">
      <c r="B9" s="99" t="n"/>
      <c r="C9" s="105" t="inlineStr">
        <is>
          <t>제작실비</t>
        </is>
      </c>
      <c r="D9" s="106" t="n"/>
      <c r="E9" s="106" t="n"/>
      <c r="F9" s="107" t="n"/>
      <c r="G9" s="107" t="n">
        <v>237337</v>
      </c>
      <c r="H9" s="108" t="inlineStr">
        <is>
          <t>Figma 월 구독료 ₩60,267
12/12 오픈데이 차량이용료 ₩121,970 
오픈데이 현장 촬영용 붐마이크(2x) 대여 ₩55,100 (구매가 10% 기준)
*촬영 및 제작에 사용한 카드사용내역분 (내역 상세 PPT로 별도 전달)</t>
        </is>
      </c>
    </row>
    <row r="10" ht="22.5" customHeight="1" s="173">
      <c r="B10" s="109" t="n"/>
      <c r="C10" s="101" t="inlineStr">
        <is>
          <t>소계</t>
        </is>
      </c>
      <c r="D10" s="101" t="n"/>
      <c r="E10" s="101" t="n"/>
      <c r="F10" s="102" t="n"/>
      <c r="G10" s="102">
        <f>G5+G6+G9</f>
        <v/>
      </c>
      <c r="H10" s="101" t="inlineStr">
        <is>
          <t>VAT 별도</t>
        </is>
      </c>
    </row>
    <row r="11" ht="22.5" customHeight="1" s="173">
      <c r="B11" s="95" t="inlineStr">
        <is>
          <t>청구 합계</t>
        </is>
      </c>
      <c r="C11" s="110" t="inlineStr">
        <is>
          <t>월 청구분 합계 (12월)</t>
        </is>
      </c>
      <c r="D11" s="110" t="n"/>
      <c r="E11" s="110" t="n"/>
      <c r="F11" s="111" t="n"/>
      <c r="G11" s="111">
        <f>G10</f>
        <v/>
      </c>
      <c r="H11" s="97" t="inlineStr">
        <is>
          <t>VAT 별도</t>
        </is>
      </c>
    </row>
    <row r="13" ht="13" customHeight="1" s="173">
      <c r="B13" s="113" t="inlineStr">
        <is>
          <t>촬영단위 재정의</t>
        </is>
      </c>
    </row>
    <row r="14" ht="13" customHeight="1" s="173">
      <c r="B14" s="73" t="inlineStr">
        <is>
          <t>하루에 촬영하더라도 콘셉트·로케이션·구성이 달라지는 세그먼트는 별도 촬영단위로 간주합니다. 따라서 9월 촬영에는 촬영일 5일이 아닌, 촬영로케이션/구성이 달라지는 9회 촬영으로 적용합니다. 
이 방식은 기획 유동성과 세팅 전환 리소스를 가능한 명확하게 반영하고, 기존 합의된 편당 구조(선반영 효율화 할인)를 유지하는 안입니다.</t>
        </is>
      </c>
    </row>
    <row r="15" ht="20.25" customHeight="1" s="173">
      <c r="B15" s="113" t="inlineStr">
        <is>
          <t>[편집] 비용 산정 기준 (아래 상세에 기획/편집으로 표기)</t>
        </is>
      </c>
    </row>
    <row r="16" ht="20.25" customHeight="1" s="173">
      <c r="B16" s="73" t="inlineStr">
        <is>
          <t>해당 월에 산정되는 편집 산출물 기준은 '제작완료' 기준에 따르며, 추후 수정은 제작완료 및 비용 반영 이후에도 업로드되기 전까지 자유롭게 진행한다.</t>
        </is>
      </c>
    </row>
    <row r="17" ht="20.25" customHeight="1" s="173">
      <c r="B17" s="113" t="inlineStr">
        <is>
          <t>[시나리오 기획] 비용 산정 기준</t>
        </is>
      </c>
    </row>
    <row r="18" ht="13" customHeight="1" s="173">
      <c r="B18" s="73" t="inlineStr">
        <is>
          <t>사전제작 이후부터는 기획-촬영-편집에 타임라인 상 간극이 발생하므로 아래와 같이 반영
- 편집과정을 거쳐 제작완료된 경우 (수정여부와는 무관), 기획/편집으로 표기하고 시나리오 기획 및 편집비까지 반영된 비용으로 반영
- 기획되어 촬영까지 진행되었으나, 해당 월에 편집산출물이 나오지 않은 상태는 기획으로 표기하고, 시나리오기획비만 추가 반영</t>
        </is>
      </c>
    </row>
    <row r="19" ht="20.25" customHeight="1" s="173"/>
    <row r="20" ht="20.25" customHeight="1" s="173">
      <c r="B20" s="113" t="inlineStr">
        <is>
          <t>(참고) 누적 반영분 상세</t>
        </is>
      </c>
    </row>
    <row r="21" ht="13" customHeight="1" s="173">
      <c r="B21" s="113" t="inlineStr">
        <is>
          <t>2025.08/09 반영분</t>
        </is>
      </c>
      <c r="C21" s="73" t="inlineStr">
        <is>
          <t>수정된 EP 기준 EP1~10, 외전 1~3</t>
        </is>
      </c>
      <c r="D21" s="73" t="n">
        <v>13</v>
      </c>
      <c r="E21" s="73" t="inlineStr">
        <is>
          <t>기획/편집</t>
        </is>
      </c>
    </row>
    <row r="22" ht="13" customHeight="1" s="173">
      <c r="C22" s="73" t="inlineStr">
        <is>
          <t>-. 국순당x크후 : 9/16(KT&amp;엘몰리노), 9/17(KT&amp;라까예), 9/22(KT&amp;샥슈카), 9/30(용용선생, 크리스피포크타운)
-. 크후x에디터 : 9/26(길거리인터뷰,건대)</t>
        </is>
      </c>
      <c r="D22" s="73" t="n">
        <v>9</v>
      </c>
      <c r="E22" s="73" t="inlineStr">
        <is>
          <t>촬영</t>
        </is>
      </c>
    </row>
    <row r="23" ht="13" customHeight="1" s="173">
      <c r="B23" s="113" t="inlineStr">
        <is>
          <t>2025.10 반영분</t>
        </is>
      </c>
      <c r="C23" s="73" t="inlineStr">
        <is>
          <t>외전4~5(떡볶이 페스티벌)</t>
        </is>
      </c>
      <c r="D23" s="73" t="n">
        <v>2</v>
      </c>
      <c r="E23" s="73" t="inlineStr">
        <is>
          <t>기획/편집</t>
        </is>
      </c>
    </row>
    <row r="24" ht="13" customHeight="1" s="173">
      <c r="C24" s="73" t="inlineStr">
        <is>
          <t>EP11~12 / 외전 6~7</t>
        </is>
      </c>
      <c r="D24" s="73" t="n">
        <v>4</v>
      </c>
      <c r="E24" s="73" t="inlineStr">
        <is>
          <t>기획/편집</t>
        </is>
      </c>
    </row>
    <row r="25" ht="13" customHeight="1" s="173">
      <c r="C25" s="73" t="inlineStr">
        <is>
          <t>로이킴 바이럴</t>
        </is>
      </c>
      <c r="D25" s="73" t="n">
        <v>1</v>
      </c>
      <c r="E25" s="73" t="inlineStr">
        <is>
          <t>기획/편집</t>
        </is>
      </c>
    </row>
    <row r="26" ht="13" customHeight="1" s="173">
      <c r="C26" s="73" t="inlineStr">
        <is>
          <t xml:space="preserve"> - 10/16 실내 (1)
 - 10/21 실내 / 별도 로이킴 당일 촬영 (2)
 - 10/28 실내 (1) 
 - 10/29 실내 / 페스카데리아 (2)</t>
        </is>
      </c>
      <c r="D26" s="73" t="n">
        <v>6</v>
      </c>
      <c r="E26" s="73" t="inlineStr">
        <is>
          <t>촬영</t>
        </is>
      </c>
    </row>
    <row r="27" ht="13" customHeight="1" s="173">
      <c r="C27" s="73" t="inlineStr">
        <is>
          <t>EP13~20, 외전 8</t>
        </is>
      </c>
      <c r="D27" s="73" t="n">
        <v>9</v>
      </c>
      <c r="E27" s="73" t="inlineStr">
        <is>
          <t>기획</t>
        </is>
      </c>
    </row>
    <row r="28" ht="13" customHeight="1" s="173">
      <c r="B28" s="113" t="inlineStr">
        <is>
          <t>2025.11 반영분</t>
        </is>
      </c>
      <c r="C28" s="73" t="inlineStr">
        <is>
          <t>외전7-12, 제외분, Ep. 21~22</t>
        </is>
      </c>
      <c r="D28" s="73" t="n">
        <v>9</v>
      </c>
      <c r="E28" s="73" t="inlineStr">
        <is>
          <t>편집</t>
        </is>
      </c>
    </row>
    <row r="29" ht="13" customHeight="1" s="173">
      <c r="C29" s="73" t="inlineStr">
        <is>
          <t>EP13~EP22, 외전7-10, 제외분
*1 (외전7) 10월 반영된 외전7이 EP15로 변경됨에 따라 기존 외전8부터 번호가 하나씩 -1 이동
*2 ((제외) | 진행상황과 현재까지의 소감) | 편집, 제작완료되었으나 업로드 시 드랍처리됨
* 계약 시 협의한 할인비율에 따라 기본가(30만원) 기준 30% 할인 적용</t>
        </is>
      </c>
      <c r="D29" s="73" t="n">
        <v>15</v>
      </c>
      <c r="E29" s="73" t="inlineStr">
        <is>
          <t>촬영</t>
        </is>
      </c>
    </row>
  </sheetData>
  <dataValidations count="1">
    <dataValidation sqref="G5:G11" showDropDown="1" showInputMessage="0" showErrorMessage="0" allowBlank="1" type="custom">
      <formula1>AND(ISNUMBER(G5),(NOT(OR(NOT(ISERROR(DATEVALUE(G5))), AND(ISNUMBER(G5), LEFT(CELL("format", G5))="D")))))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B4:H2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7.33203125" customWidth="1" style="173" min="1" max="1"/>
    <col width="14.83203125" customWidth="1" style="173" min="2" max="2"/>
    <col width="32.1640625" customWidth="1" style="173" min="3" max="3"/>
    <col width="6" customWidth="1" style="173" min="5" max="5"/>
    <col width="5.33203125" customWidth="1" style="173" min="6" max="6"/>
    <col width="15.6640625" customWidth="1" style="173" min="7" max="7"/>
    <col width="78.33203125" customWidth="1" style="173" min="8" max="8"/>
  </cols>
  <sheetData>
    <row r="4" ht="22.5" customHeight="1" s="173">
      <c r="B4" s="93" t="inlineStr">
        <is>
          <t>구분</t>
        </is>
      </c>
      <c r="C4" s="93" t="inlineStr">
        <is>
          <t>항목</t>
        </is>
      </c>
      <c r="D4" s="93" t="inlineStr">
        <is>
          <t>단가</t>
        </is>
      </c>
      <c r="E4" s="93" t="inlineStr">
        <is>
          <t>수량</t>
        </is>
      </c>
      <c r="F4" s="94" t="inlineStr">
        <is>
          <t>-</t>
        </is>
      </c>
      <c r="G4" s="93" t="inlineStr">
        <is>
          <t>합계 (₩)</t>
        </is>
      </c>
      <c r="H4" s="93" t="inlineStr">
        <is>
          <t>비고</t>
        </is>
      </c>
    </row>
    <row r="5" ht="22.5" customHeight="1" s="173">
      <c r="B5" s="95" t="inlineStr">
        <is>
          <t>8월 청구분</t>
        </is>
      </c>
      <c r="C5" s="110" t="inlineStr">
        <is>
          <t>사전 기획료 및 디자인 비용</t>
        </is>
      </c>
      <c r="D5" s="97" t="inlineStr">
        <is>
          <t>-</t>
        </is>
      </c>
      <c r="E5" s="97" t="inlineStr">
        <is>
          <t>-</t>
        </is>
      </c>
      <c r="F5" s="98" t="n"/>
      <c r="G5" s="98" t="n">
        <v>2000000</v>
      </c>
      <c r="H5" s="97" t="inlineStr">
        <is>
          <t>초기 기획 및 디자인 비용 (고정비) ₩3,000,000
* 사전할인 ₩1,000,000 적용</t>
        </is>
      </c>
    </row>
    <row r="6" ht="22.5" customHeight="1" s="173">
      <c r="B6" s="138" t="n"/>
      <c r="C6" s="101" t="inlineStr">
        <is>
          <t>소계</t>
        </is>
      </c>
      <c r="D6" s="101" t="n"/>
      <c r="E6" s="101" t="n"/>
      <c r="F6" s="102" t="n"/>
      <c r="G6" s="102" t="n">
        <v>2000000</v>
      </c>
      <c r="H6" s="101" t="inlineStr">
        <is>
          <t>VAT 별도</t>
        </is>
      </c>
    </row>
    <row r="7" ht="22.5" customHeight="1" s="173">
      <c r="B7" s="95" t="inlineStr">
        <is>
          <t xml:space="preserve">9월 청구분 </t>
        </is>
      </c>
      <c r="C7" s="110" t="inlineStr">
        <is>
          <t>촬영지원 (1일, 6h / 크후팀 동행)</t>
        </is>
      </c>
      <c r="D7" s="111" t="n">
        <v>480000</v>
      </c>
      <c r="E7" s="110" t="n">
        <v>5</v>
      </c>
      <c r="F7" s="111" t="inlineStr">
        <is>
          <t>일</t>
        </is>
      </c>
      <c r="G7" s="111">
        <f>D7*E7</f>
        <v/>
      </c>
      <c r="H7" s="97" t="inlineStr">
        <is>
          <t>촬영일 상세
-. 국순당x크후 : 9/16(KT&amp;엘몰리노), 9/17(KT&amp;라까예), 9/22(KT&amp;샥슈카), 9/30(용용선생, 크리스피포크타운)
-. 크후x에디터 : 10/26(길거리인터뷰,건대)</t>
        </is>
      </c>
    </row>
    <row r="8" ht="22.5" customHeight="1" s="173">
      <c r="B8" s="99" t="n"/>
      <c r="C8" s="141" t="inlineStr">
        <is>
          <t>시나리오 기획 및 편집비 (제작완료 기준)</t>
        </is>
      </c>
      <c r="D8" s="111">
        <f>D9+D10</f>
        <v/>
      </c>
      <c r="E8" s="110" t="n">
        <v>13</v>
      </c>
      <c r="F8" s="111" t="inlineStr">
        <is>
          <t>편</t>
        </is>
      </c>
      <c r="G8" s="111">
        <f>D8*E8</f>
        <v/>
      </c>
      <c r="H8" s="97" t="inlineStr">
        <is>
          <t>제작 완료 분량, 총 13건 → 10월 내 업로드 완료 예정</t>
        </is>
      </c>
    </row>
    <row r="9" ht="22.5" customHeight="1" s="173">
      <c r="B9" s="99" t="n"/>
      <c r="C9" s="103" t="inlineStr">
        <is>
          <t>세부 내역 (1) 시나리오 기획</t>
        </is>
      </c>
      <c r="D9" s="98" t="n">
        <v>120000</v>
      </c>
      <c r="E9" s="97" t="n">
        <v>13</v>
      </c>
      <c r="F9" s="98" t="inlineStr">
        <is>
          <t>편</t>
        </is>
      </c>
      <c r="G9" s="98">
        <f>D9*E9</f>
        <v/>
      </c>
      <c r="H9" s="97" t="n"/>
    </row>
    <row r="10" ht="22.5" customHeight="1" s="173">
      <c r="B10" s="99" t="n"/>
      <c r="C10" s="103" t="inlineStr">
        <is>
          <t>세부 내역 (2) 편집</t>
        </is>
      </c>
      <c r="D10" s="98">
        <f>300000*0.7</f>
        <v/>
      </c>
      <c r="E10" s="97" t="n">
        <v>13</v>
      </c>
      <c r="F10" s="98" t="inlineStr">
        <is>
          <t>편</t>
        </is>
      </c>
      <c r="G10" s="98">
        <f>D10*E10</f>
        <v/>
      </c>
      <c r="H10" s="97" t="inlineStr">
        <is>
          <t>*계약 시 협의한 할인비율에 따라 기본가(30만원) 기준 30% 할인 적용</t>
        </is>
      </c>
    </row>
    <row r="11" ht="22.5" customHeight="1" s="173">
      <c r="B11" s="109" t="n"/>
      <c r="C11" s="101" t="inlineStr">
        <is>
          <t>소계</t>
        </is>
      </c>
      <c r="D11" s="101" t="n"/>
      <c r="E11" s="101" t="n"/>
      <c r="F11" s="102" t="n"/>
      <c r="G11" s="102">
        <f>G7+G8</f>
        <v/>
      </c>
      <c r="H11" s="101" t="inlineStr">
        <is>
          <t>VAT 별도</t>
        </is>
      </c>
    </row>
    <row r="12" ht="22.5" customHeight="1" s="173">
      <c r="B12" s="95" t="inlineStr">
        <is>
          <t>청구 합계</t>
        </is>
      </c>
      <c r="C12" s="110" t="inlineStr">
        <is>
          <t>월 청구분 합계 (8월+9월)</t>
        </is>
      </c>
      <c r="D12" s="110" t="n"/>
      <c r="E12" s="110" t="n"/>
      <c r="F12" s="111" t="n"/>
      <c r="G12" s="111">
        <f>G6+G11</f>
        <v/>
      </c>
      <c r="H12" s="97" t="inlineStr">
        <is>
          <t>VAT 별도</t>
        </is>
      </c>
    </row>
    <row r="15" ht="92.25" customHeight="1" s="173">
      <c r="B15" s="142" t="inlineStr">
        <is>
          <t>[비고] *251014
1일(6h) 촬영한 분량을 여러 편으로 나눠 제작하고 있음에 따라, 기존 단가표 내 [촬영지원 *편당48만원] 비용에 관한 부분 조율하고자 합니다.
  → 초기 계약 당시, 1회당 기본 1회분의 콘텐츠 제작이 기대됨에 따라 *48만원 비용으로 협의
  → 현재 1회 촬영한 분량을 여러 콘텐츠에 나눠 활용하고 있음에 따라 조정 필요
※ 제안
 -. [촬영지원] 비용은 촬영일(1일, 6h)을 기준으로 청구
 -. 그 외 [시나리오 / 편집비]는 완성본을 기준으로 각각 단가표에 맞춰 청구 유지</t>
        </is>
      </c>
    </row>
    <row r="16" ht="13" customHeight="1" s="173">
      <c r="B16" s="143" t="n"/>
      <c r="C16" s="143" t="n"/>
      <c r="D16" s="143" t="n"/>
      <c r="E16" s="143" t="n"/>
      <c r="F16" s="143" t="n"/>
      <c r="G16" s="143" t="n"/>
      <c r="H16" s="143" t="n"/>
    </row>
    <row r="17" ht="13" customHeight="1" s="173">
      <c r="B17" s="113" t="n"/>
      <c r="F17" s="144" t="n"/>
      <c r="G17" s="144" t="n"/>
    </row>
    <row r="18" ht="13" customHeight="1" s="173">
      <c r="B18" s="113" t="n"/>
      <c r="E18" s="145" t="n"/>
      <c r="F18" s="144" t="n"/>
      <c r="G18" s="144" t="n"/>
    </row>
    <row r="19" ht="13" customHeight="1" s="173">
      <c r="B19" s="113" t="n"/>
      <c r="C19" s="144" t="n"/>
    </row>
    <row r="20" ht="13" customHeight="1" s="173">
      <c r="B20" s="113" t="n"/>
      <c r="C20" s="246" t="n"/>
    </row>
  </sheetData>
  <dataValidations count="1">
    <dataValidation sqref="G5:G12" showDropDown="1" showInputMessage="0" showErrorMessage="0" allowBlank="1" type="custom">
      <formula1>AND(ISNUMBER(G5),(NOT(OR(NOT(ISERROR(DATEVALUE(G5))), AND(ISNUMBER(G5), LEFT(CELL("format", G5))="D")))))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B4:H3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7.33203125" customWidth="1" style="173" min="1" max="1"/>
    <col width="14.83203125" customWidth="1" style="173" min="2" max="2"/>
    <col width="33.6640625" customWidth="1" style="173" min="3" max="3"/>
    <col width="8.33203125" customWidth="1" style="173" min="5" max="5"/>
    <col width="3.6640625" customWidth="1" style="173" min="6" max="6"/>
    <col width="15.6640625" customWidth="1" style="173" min="7" max="7"/>
    <col width="78.33203125" customWidth="1" style="173" min="8" max="8"/>
  </cols>
  <sheetData>
    <row r="4" ht="22.5" customHeight="1" s="173">
      <c r="B4" s="93" t="inlineStr">
        <is>
          <t>구분</t>
        </is>
      </c>
      <c r="C4" s="93" t="inlineStr">
        <is>
          <t>항목</t>
        </is>
      </c>
      <c r="D4" s="93" t="inlineStr">
        <is>
          <t>단가</t>
        </is>
      </c>
      <c r="E4" s="93" t="inlineStr">
        <is>
          <t>수량</t>
        </is>
      </c>
      <c r="F4" s="94" t="inlineStr">
        <is>
          <t>-</t>
        </is>
      </c>
      <c r="G4" s="93" t="inlineStr">
        <is>
          <t>합계 (₩)</t>
        </is>
      </c>
      <c r="H4" s="93" t="inlineStr">
        <is>
          <t>비고</t>
        </is>
      </c>
    </row>
    <row r="5" ht="22.5" customHeight="1" s="173">
      <c r="B5" s="95" t="inlineStr">
        <is>
          <t>8월 청구분</t>
        </is>
      </c>
      <c r="C5" s="110" t="inlineStr">
        <is>
          <t>사전 기획료 및 디자인 비용</t>
        </is>
      </c>
      <c r="D5" s="97" t="inlineStr">
        <is>
          <t>-</t>
        </is>
      </c>
      <c r="E5" s="97" t="inlineStr">
        <is>
          <t>-</t>
        </is>
      </c>
      <c r="F5" s="98" t="n"/>
      <c r="G5" s="98" t="n">
        <v>2000000</v>
      </c>
      <c r="H5" s="97" t="inlineStr">
        <is>
          <t>초기 기획 및 디자인 비용 (고정비) ₩3,000,000
* 사전할인 ₩1,000,000 적용</t>
        </is>
      </c>
    </row>
    <row r="6" ht="22.5" customHeight="1" s="173">
      <c r="B6" s="138" t="n"/>
      <c r="C6" s="101" t="inlineStr">
        <is>
          <t>소계</t>
        </is>
      </c>
      <c r="D6" s="101" t="n"/>
      <c r="E6" s="101" t="n"/>
      <c r="F6" s="102" t="n"/>
      <c r="G6" s="102" t="n">
        <v>2000000</v>
      </c>
      <c r="H6" s="101" t="inlineStr">
        <is>
          <t>VAT 별도</t>
        </is>
      </c>
    </row>
    <row r="7" ht="22.5" customHeight="1" s="173">
      <c r="B7" s="95" t="inlineStr">
        <is>
          <t xml:space="preserve">9월 청구분 </t>
        </is>
      </c>
      <c r="C7" s="110" t="inlineStr">
        <is>
          <t>촬영지원 (로케이션 단위로 구분 / 크후팀 동행)</t>
        </is>
      </c>
      <c r="D7" s="111" t="n">
        <v>480000</v>
      </c>
      <c r="E7" s="139" t="n">
        <v>9</v>
      </c>
      <c r="F7" s="140" t="inlineStr">
        <is>
          <t>회</t>
        </is>
      </c>
      <c r="G7" s="111">
        <f>D7*E7</f>
        <v/>
      </c>
      <c r="H7" s="97" t="inlineStr">
        <is>
          <t>촬영일 상세
-. 국순당x크후 : 9/16(KT&amp;엘몰리노), 9/17(KT&amp;라까예), 9/22(KT&amp;샥슈카), 9/30(용용선생, 크리스피포크타운)
-. 크후x에디터 : 9/26(길거리인터뷰,건대)</t>
        </is>
      </c>
    </row>
    <row r="8" ht="22.5" customHeight="1" s="173">
      <c r="B8" s="99" t="n"/>
      <c r="C8" s="141" t="inlineStr">
        <is>
          <t>시나리오 기획 및 편집비 (제작완료 기준)</t>
        </is>
      </c>
      <c r="D8" s="111">
        <f>D9+D10</f>
        <v/>
      </c>
      <c r="E8" s="110" t="n">
        <v>13</v>
      </c>
      <c r="F8" s="111" t="inlineStr">
        <is>
          <t>편</t>
        </is>
      </c>
      <c r="G8" s="111">
        <f>D8*E8</f>
        <v/>
      </c>
      <c r="H8" s="97" t="inlineStr">
        <is>
          <t>제작 완료 분량, 총 13건 → 10월 내 업로드 완료 예정</t>
        </is>
      </c>
    </row>
    <row r="9" ht="22.5" customHeight="1" s="173">
      <c r="B9" s="99" t="n"/>
      <c r="C9" s="103" t="inlineStr">
        <is>
          <t>세부 내역 (1) 시나리오 기획</t>
        </is>
      </c>
      <c r="D9" s="98" t="n">
        <v>120000</v>
      </c>
      <c r="E9" s="97" t="n">
        <v>13</v>
      </c>
      <c r="F9" s="98" t="inlineStr">
        <is>
          <t>편</t>
        </is>
      </c>
      <c r="G9" s="98">
        <f>D9*E9</f>
        <v/>
      </c>
      <c r="H9" s="97" t="n"/>
    </row>
    <row r="10" ht="22.5" customHeight="1" s="173">
      <c r="B10" s="99" t="n"/>
      <c r="C10" s="103" t="inlineStr">
        <is>
          <t>세부 내역 (2) 편집</t>
        </is>
      </c>
      <c r="D10" s="98">
        <f>300000*0.7</f>
        <v/>
      </c>
      <c r="E10" s="97" t="n">
        <v>13</v>
      </c>
      <c r="F10" s="98" t="inlineStr">
        <is>
          <t>편</t>
        </is>
      </c>
      <c r="G10" s="98">
        <f>D10*E10</f>
        <v/>
      </c>
      <c r="H10" s="97" t="inlineStr">
        <is>
          <t>*계약 시 협의한 할인비율에 따라 기본가(30만원) 기준 30% 할인 적용</t>
        </is>
      </c>
    </row>
    <row r="11" ht="22.5" customHeight="1" s="173">
      <c r="B11" s="99" t="n"/>
      <c r="C11" s="105" t="inlineStr">
        <is>
          <t>제작실비</t>
        </is>
      </c>
      <c r="D11" s="106" t="n"/>
      <c r="E11" s="106" t="n"/>
      <c r="F11" s="107" t="n"/>
      <c r="G11" s="107" t="n">
        <v>85800</v>
      </c>
      <c r="H11" s="108" t="inlineStr">
        <is>
          <t>*촬영 및 제작에 사용한 카드사용내역분 (내역 상세 PPT로 별도 전달)</t>
        </is>
      </c>
    </row>
    <row r="12" ht="22.5" customHeight="1" s="173">
      <c r="B12" s="109" t="n"/>
      <c r="C12" s="101" t="inlineStr">
        <is>
          <t>소계</t>
        </is>
      </c>
      <c r="D12" s="101" t="n"/>
      <c r="E12" s="101" t="n"/>
      <c r="F12" s="102" t="n"/>
      <c r="G12" s="102">
        <f>G7+G8+G11</f>
        <v/>
      </c>
      <c r="H12" s="101" t="inlineStr">
        <is>
          <t>VAT 별도</t>
        </is>
      </c>
    </row>
    <row r="13" ht="22.5" customHeight="1" s="173">
      <c r="B13" s="95" t="inlineStr">
        <is>
          <t>청구 합계</t>
        </is>
      </c>
      <c r="C13" s="110" t="inlineStr">
        <is>
          <t>월 청구분 합계 (8월+9월)</t>
        </is>
      </c>
      <c r="D13" s="110" t="n"/>
      <c r="E13" s="110" t="n"/>
      <c r="F13" s="111" t="n"/>
      <c r="G13" s="111">
        <f>G6+G12</f>
        <v/>
      </c>
      <c r="H13" s="97" t="inlineStr">
        <is>
          <t>VAT 별도</t>
        </is>
      </c>
    </row>
    <row r="15" ht="13" customHeight="1" s="173">
      <c r="B15" s="113" t="inlineStr">
        <is>
          <t>[A안] 촬영단위 재정의</t>
        </is>
      </c>
    </row>
    <row r="16" ht="13" customHeight="1" s="173">
      <c r="B16" s="113" t="inlineStr">
        <is>
          <t>하루에 촬영하더라도 콘셉트·로케이션·구성이 달라지는 세그먼트는 별도 촬영단위로 간주합니다. 따라서 9월 촬영에는 촬영일 5일이 아닌, 촬영로케이션/구성이 달라지는 9회 촬영으로 적용합니다.</t>
        </is>
      </c>
    </row>
    <row r="17" ht="20.25" customHeight="1" s="173">
      <c r="B17" s="113" t="inlineStr">
        <is>
          <t>이 방식은 기획 유동성과 세팅 전환 리소스를 가능한 명확하게 반영하고, 기존 합의된 편당 구조(선반영 효율화 할인)를 유지하는 안입니다.</t>
        </is>
      </c>
    </row>
    <row r="18" ht="20.25" customHeight="1" s="173"/>
    <row r="19" ht="20.25" customHeight="1" s="173">
      <c r="B19" s="142" t="n"/>
    </row>
    <row r="20" ht="13" customHeight="1" s="173">
      <c r="B20" s="143" t="n"/>
      <c r="C20" s="143" t="n"/>
      <c r="D20" s="143" t="n"/>
      <c r="E20" s="143" t="n"/>
      <c r="F20" s="143" t="n"/>
      <c r="G20" s="143" t="n"/>
      <c r="H20" s="143" t="n"/>
    </row>
    <row r="21" ht="22.5" customHeight="1" s="173">
      <c r="B21" s="93" t="inlineStr">
        <is>
          <t>구분</t>
        </is>
      </c>
      <c r="C21" s="93" t="inlineStr">
        <is>
          <t>항목</t>
        </is>
      </c>
      <c r="D21" s="93" t="inlineStr">
        <is>
          <t>단가</t>
        </is>
      </c>
      <c r="E21" s="93" t="inlineStr">
        <is>
          <t>수량</t>
        </is>
      </c>
      <c r="F21" s="94" t="inlineStr">
        <is>
          <t>-</t>
        </is>
      </c>
      <c r="G21" s="93" t="inlineStr">
        <is>
          <t>합계 (₩)</t>
        </is>
      </c>
      <c r="H21" s="93" t="inlineStr">
        <is>
          <t>비고</t>
        </is>
      </c>
    </row>
    <row r="22" ht="22.5" customHeight="1" s="173">
      <c r="B22" s="95" t="inlineStr">
        <is>
          <t>8월 청구분</t>
        </is>
      </c>
      <c r="C22" s="110" t="inlineStr">
        <is>
          <t>사전 기획료 및 디자인 비용</t>
        </is>
      </c>
      <c r="D22" s="97" t="inlineStr">
        <is>
          <t>-</t>
        </is>
      </c>
      <c r="E22" s="97" t="inlineStr">
        <is>
          <t>-</t>
        </is>
      </c>
      <c r="F22" s="98" t="n"/>
      <c r="G22" s="98" t="n">
        <v>2000000</v>
      </c>
      <c r="H22" s="97" t="inlineStr">
        <is>
          <t>초기 기획 및 디자인 비용 (고정비) ₩3,000,000
* 사전할인 ₩1,000,000 적용</t>
        </is>
      </c>
    </row>
    <row r="23" ht="22.5" customHeight="1" s="173">
      <c r="B23" s="138" t="n"/>
      <c r="C23" s="101" t="inlineStr">
        <is>
          <t>소계</t>
        </is>
      </c>
      <c r="D23" s="101" t="n"/>
      <c r="E23" s="101" t="n"/>
      <c r="F23" s="102" t="n"/>
      <c r="G23" s="102" t="n">
        <v>2000000</v>
      </c>
      <c r="H23" s="101" t="inlineStr">
        <is>
          <t>VAT 별도</t>
        </is>
      </c>
    </row>
    <row r="24" ht="22.5" customHeight="1" s="173">
      <c r="B24" s="95" t="inlineStr">
        <is>
          <t xml:space="preserve">9월 청구분 </t>
        </is>
      </c>
      <c r="C24" s="110" t="inlineStr">
        <is>
          <t>촬영지원 (1일, 6h / 크후팀 동행)</t>
        </is>
      </c>
      <c r="D24" s="140" t="n">
        <v>800000</v>
      </c>
      <c r="E24" s="110" t="n">
        <v>5</v>
      </c>
      <c r="F24" s="111" t="inlineStr">
        <is>
          <t>일</t>
        </is>
      </c>
      <c r="G24" s="111">
        <f>D24*E24</f>
        <v/>
      </c>
      <c r="H24" s="97" t="inlineStr">
        <is>
          <t>촬영일 상세
-. 국순당x크후 : 9/16(KT&amp;엘몰리노), 9/17(KT&amp;라까예), 9/22(KT&amp;샥슈카), 9/30(용용선생, 크리스피포크타운)
-. 크후x에디터 : 10/26(길거리인터뷰,건대)</t>
        </is>
      </c>
    </row>
    <row r="25" ht="22.5" customHeight="1" s="173">
      <c r="B25" s="99" t="n"/>
      <c r="C25" s="141" t="inlineStr">
        <is>
          <t>시나리오 기획 및 편집비 (제작완료 기준)</t>
        </is>
      </c>
      <c r="D25" s="111">
        <f>D26+D27</f>
        <v/>
      </c>
      <c r="E25" s="110" t="n">
        <v>13</v>
      </c>
      <c r="F25" s="111" t="inlineStr">
        <is>
          <t>편</t>
        </is>
      </c>
      <c r="G25" s="111">
        <f>D25*E25</f>
        <v/>
      </c>
      <c r="H25" s="97" t="inlineStr">
        <is>
          <t>제작 완료 분량, 총 13건 → 10월 내 업로드 완료 예정</t>
        </is>
      </c>
    </row>
    <row r="26" ht="22.5" customHeight="1" s="173">
      <c r="B26" s="99" t="n"/>
      <c r="C26" s="103" t="inlineStr">
        <is>
          <t>세부 내역 (1) 시나리오 기획</t>
        </is>
      </c>
      <c r="D26" s="98" t="n">
        <v>120000</v>
      </c>
      <c r="E26" s="97" t="n">
        <v>13</v>
      </c>
      <c r="F26" s="98" t="inlineStr">
        <is>
          <t>편</t>
        </is>
      </c>
      <c r="G26" s="98">
        <f>D26*E26</f>
        <v/>
      </c>
      <c r="H26" s="97" t="n"/>
    </row>
    <row r="27" ht="22.5" customHeight="1" s="173">
      <c r="B27" s="99" t="n"/>
      <c r="C27" s="103" t="inlineStr">
        <is>
          <t>세부 내역 (2) 편집</t>
        </is>
      </c>
      <c r="D27" s="98">
        <f>300000*0.7</f>
        <v/>
      </c>
      <c r="E27" s="97" t="n">
        <v>13</v>
      </c>
      <c r="F27" s="98" t="inlineStr">
        <is>
          <t>편</t>
        </is>
      </c>
      <c r="G27" s="98">
        <f>D27*E27</f>
        <v/>
      </c>
      <c r="H27" s="97" t="inlineStr">
        <is>
          <t>*계약 시 협의한 할인비율에 따라 기본가(30만원) 기준 30% 할인 적용</t>
        </is>
      </c>
    </row>
    <row r="28" ht="22.5" customHeight="1" s="173">
      <c r="B28" s="109" t="n"/>
      <c r="C28" s="101" t="inlineStr">
        <is>
          <t>소계</t>
        </is>
      </c>
      <c r="D28" s="101" t="n"/>
      <c r="E28" s="101" t="n"/>
      <c r="F28" s="102" t="n"/>
      <c r="G28" s="102">
        <f>G24+G25</f>
        <v/>
      </c>
      <c r="H28" s="101" t="inlineStr">
        <is>
          <t>VAT 별도</t>
        </is>
      </c>
    </row>
    <row r="29" ht="22.5" customHeight="1" s="173">
      <c r="B29" s="95" t="inlineStr">
        <is>
          <t>청구 합계</t>
        </is>
      </c>
      <c r="C29" s="110" t="inlineStr">
        <is>
          <t>월 청구분 합계 (8월+9월)</t>
        </is>
      </c>
      <c r="D29" s="110" t="n"/>
      <c r="E29" s="110" t="n"/>
      <c r="F29" s="111" t="n"/>
      <c r="G29" s="111">
        <f>G23+G28</f>
        <v/>
      </c>
      <c r="H29" s="97" t="inlineStr">
        <is>
          <t>VAT 별도</t>
        </is>
      </c>
    </row>
    <row r="31" ht="13" customHeight="1" s="173">
      <c r="B31" s="113" t="inlineStr">
        <is>
          <t>[B안] 일자 기준 수용 + 일당 단가 상향(효율화 할인 복원)</t>
        </is>
      </c>
    </row>
    <row r="32" ht="13" customHeight="1" s="173">
      <c r="B32" s="113" t="inlineStr">
        <is>
          <t>국순당 측 제안하신 일자 기준 정산을 수용하되, 선반영된 효율화 할인을 복원하여 일당 800,000원으로 산정합니다.</t>
        </is>
      </c>
    </row>
    <row r="33" ht="13" customHeight="1" s="173">
      <c r="B33" s="113" t="inlineStr">
        <is>
          <t>회계·운영 측면에서 단순/명료하며, 중복 할인을 방지하는 안입니다.</t>
        </is>
      </c>
    </row>
    <row r="34" ht="13" customHeight="1" s="173">
      <c r="B34" s="113" t="n"/>
    </row>
  </sheetData>
  <dataValidations count="1">
    <dataValidation sqref="G5:G13 G22:G29" showDropDown="1" showInputMessage="0" showErrorMessage="0" allowBlank="1" type="custom">
      <formula1>AND(ISNUMBER(G5),(NOT(OR(NOT(ISERROR(DATEVALUE(G5))), AND(ISNUMBER(G5), LEFT(CELL("format", G5))="D")))))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tabColor rgb="FF0000FF"/>
    <outlinePr summaryBelow="0" summaryRight="0"/>
    <pageSetUpPr/>
  </sheetPr>
  <dimension ref="A2:AD36"/>
  <sheetViews>
    <sheetView workbookViewId="0">
      <selection activeCell="A1" sqref="A1"/>
    </sheetView>
  </sheetViews>
  <sheetFormatPr baseColWidth="10" defaultColWidth="12.6640625" defaultRowHeight="15.75" customHeight="1"/>
  <cols>
    <col width="3.6640625" customWidth="1" style="173" min="1" max="1"/>
    <col width="8.6640625" customWidth="1" style="173" min="2" max="2"/>
    <col width="18.1640625" customWidth="1" style="173" min="3" max="3"/>
    <col width="26.6640625" customWidth="1" style="173" min="4" max="4"/>
    <col width="7" customWidth="1" style="173" min="5" max="8"/>
    <col width="15.1640625" customWidth="1" style="173" min="9" max="10"/>
    <col width="62" customWidth="1" style="173" min="11" max="11"/>
  </cols>
  <sheetData>
    <row r="2">
      <c r="B2" s="1" t="inlineStr">
        <is>
          <t>26년도 운영예산안 / 협의중</t>
        </is>
      </c>
    </row>
    <row r="4" ht="15.75" customHeight="1" s="173">
      <c r="B4" s="3" t="inlineStr">
        <is>
          <t>구분</t>
        </is>
      </c>
      <c r="C4" s="3" t="inlineStr">
        <is>
          <t>콘텐츠</t>
        </is>
      </c>
      <c r="D4" s="3" t="inlineStr">
        <is>
          <t>상세</t>
        </is>
      </c>
      <c r="E4" s="3" t="inlineStr">
        <is>
          <t>수량</t>
        </is>
      </c>
      <c r="F4" s="3" t="inlineStr">
        <is>
          <t>단위</t>
        </is>
      </c>
      <c r="G4" s="3" t="inlineStr">
        <is>
          <t>횟수</t>
        </is>
      </c>
      <c r="H4" s="3" t="inlineStr">
        <is>
          <t>단위</t>
        </is>
      </c>
      <c r="I4" s="3" t="inlineStr">
        <is>
          <t>단가</t>
        </is>
      </c>
      <c r="J4" s="3" t="inlineStr">
        <is>
          <t>금액</t>
        </is>
      </c>
      <c r="K4" s="3" t="inlineStr">
        <is>
          <t>비고</t>
        </is>
      </c>
    </row>
    <row r="5" ht="15.75" customHeight="1" s="173">
      <c r="B5" s="205" t="inlineStr">
        <is>
          <t>최초 청구</t>
        </is>
      </c>
      <c r="C5" s="206" t="inlineStr">
        <is>
          <t>1월 사전세팅</t>
        </is>
      </c>
      <c r="D5" s="147" t="inlineStr">
        <is>
          <t>사전기획비</t>
        </is>
      </c>
      <c r="E5" s="148" t="n">
        <v>1</v>
      </c>
      <c r="F5" s="148" t="inlineStr">
        <is>
          <t>Series</t>
        </is>
      </c>
      <c r="G5" s="148" t="n">
        <v>1</v>
      </c>
      <c r="H5" s="148" t="inlineStr">
        <is>
          <t>회</t>
        </is>
      </c>
      <c r="I5" s="150" t="n">
        <v>200000</v>
      </c>
      <c r="J5" s="150">
        <f>E5*G5*I5</f>
        <v/>
      </c>
      <c r="K5" s="151" t="n"/>
    </row>
    <row r="6" ht="15.75" customHeight="1" s="173">
      <c r="C6" s="209" t="n"/>
      <c r="D6" s="147" t="inlineStr">
        <is>
          <t>디자인비</t>
        </is>
      </c>
      <c r="E6" s="148" t="n">
        <v>1</v>
      </c>
      <c r="F6" s="148" t="inlineStr">
        <is>
          <t>Series</t>
        </is>
      </c>
      <c r="G6" s="148" t="n">
        <v>3</v>
      </c>
      <c r="H6" s="148" t="inlineStr">
        <is>
          <t>건</t>
        </is>
      </c>
      <c r="I6" s="150" t="n">
        <v>600000</v>
      </c>
      <c r="J6" s="150">
        <f>E6*G6*I6</f>
        <v/>
      </c>
      <c r="K6" s="151" t="inlineStr">
        <is>
          <t>*1월 사전세팅 단계에서, 최초 1회만 청구</t>
        </is>
      </c>
    </row>
    <row r="7">
      <c r="B7" s="210" t="inlineStr">
        <is>
          <t>SUM</t>
        </is>
      </c>
      <c r="C7" s="211" t="n"/>
      <c r="D7" s="211" t="n"/>
      <c r="E7" s="211" t="n"/>
      <c r="F7" s="211" t="n"/>
      <c r="G7" s="211" t="n"/>
      <c r="H7" s="211" t="n"/>
      <c r="I7" s="212" t="n"/>
      <c r="J7" s="11">
        <f>SUM(J5:J6)</f>
        <v/>
      </c>
      <c r="K7" s="12" t="n"/>
    </row>
    <row r="9">
      <c r="B9" s="213" t="inlineStr">
        <is>
          <t>▼정기▼</t>
        </is>
      </c>
      <c r="C9" s="214" t="n"/>
      <c r="D9" s="214" t="n"/>
      <c r="E9" s="214" t="n"/>
      <c r="F9" s="214" t="n"/>
      <c r="G9" s="214" t="n"/>
      <c r="H9" s="214" t="n"/>
      <c r="I9" s="215" t="n"/>
      <c r="J9" s="14" t="n"/>
      <c r="K9" s="14" t="n"/>
    </row>
    <row r="10" ht="15.75" customHeight="1" s="173">
      <c r="B10" s="3" t="inlineStr">
        <is>
          <t>구분</t>
        </is>
      </c>
      <c r="C10" s="3" t="inlineStr">
        <is>
          <t>콘텐츠</t>
        </is>
      </c>
      <c r="D10" s="3" t="inlineStr">
        <is>
          <t>상세</t>
        </is>
      </c>
      <c r="E10" s="3" t="inlineStr">
        <is>
          <t>수량</t>
        </is>
      </c>
      <c r="F10" s="3" t="inlineStr">
        <is>
          <t>단위</t>
        </is>
      </c>
      <c r="G10" s="3" t="inlineStr">
        <is>
          <t>횟수</t>
        </is>
      </c>
      <c r="H10" s="3" t="inlineStr">
        <is>
          <t>단위</t>
        </is>
      </c>
      <c r="I10" s="3" t="inlineStr">
        <is>
          <t>단가</t>
        </is>
      </c>
      <c r="J10" s="3" t="inlineStr">
        <is>
          <t>금액</t>
        </is>
      </c>
      <c r="K10" s="3" t="inlineStr">
        <is>
          <t>비고</t>
        </is>
      </c>
    </row>
    <row r="11" ht="15.75" customHeight="1" s="173">
      <c r="B11" s="42" t="inlineStr">
        <is>
          <t>정기
콘텐츠</t>
        </is>
      </c>
      <c r="C11" s="160" t="inlineStr">
        <is>
          <t>고객인터뷰형 
(*순당포착)
[구성]
캐러셀1+숏폼2</t>
        </is>
      </c>
      <c r="D11" s="5" t="inlineStr">
        <is>
          <t>기획</t>
        </is>
      </c>
      <c r="E11" s="20" t="n">
        <v>1</v>
      </c>
      <c r="F11" s="20" t="inlineStr">
        <is>
          <t>Series</t>
        </is>
      </c>
      <c r="G11" s="20" t="n">
        <v>1</v>
      </c>
      <c r="H11" s="20" t="inlineStr">
        <is>
          <t>회</t>
        </is>
      </c>
      <c r="I11" s="33" t="n">
        <v>200000</v>
      </c>
      <c r="J11" s="33">
        <f>E11*G11*I11</f>
        <v/>
      </c>
      <c r="K11" s="18" t="inlineStr">
        <is>
          <t>인물 기획, 질문지 구성</t>
        </is>
      </c>
    </row>
    <row r="12" ht="15.75" customHeight="1" s="173">
      <c r="B12" s="209" t="n"/>
      <c r="C12" s="209" t="n"/>
      <c r="D12" s="5" t="inlineStr">
        <is>
          <t>섭외/로케이션</t>
        </is>
      </c>
      <c r="E12" s="20" t="n">
        <v>1</v>
      </c>
      <c r="F12" s="20" t="inlineStr">
        <is>
          <t>Series</t>
        </is>
      </c>
      <c r="G12" s="20" t="n">
        <v>1</v>
      </c>
      <c r="H12" s="20" t="inlineStr">
        <is>
          <t>회</t>
        </is>
      </c>
      <c r="I12" s="33" t="n">
        <v>300000</v>
      </c>
      <c r="J12" s="33">
        <f>E12*G12*I12</f>
        <v/>
      </c>
      <c r="K12" s="19" t="inlineStr">
        <is>
          <t>출연자 섭외, 장소 헌팅</t>
        </is>
      </c>
    </row>
    <row r="13" ht="15.75" customHeight="1" s="173">
      <c r="B13" s="209" t="n"/>
      <c r="C13" s="209" t="n"/>
      <c r="D13" s="5" t="inlineStr">
        <is>
          <t>촬영 (화보+인터뷰)</t>
        </is>
      </c>
      <c r="E13" s="20" t="n">
        <v>1</v>
      </c>
      <c r="F13" s="20" t="inlineStr">
        <is>
          <t>Series</t>
        </is>
      </c>
      <c r="G13" s="20" t="n">
        <v>2</v>
      </c>
      <c r="H13" s="20" t="inlineStr">
        <is>
          <t>set</t>
        </is>
      </c>
      <c r="I13" s="33" t="n">
        <v>300000</v>
      </c>
      <c r="J13" s="33">
        <f>E13*G13*I13</f>
        <v/>
      </c>
      <c r="K13" s="19" t="inlineStr">
        <is>
          <t>스틸컷+영상 동시 촬영</t>
        </is>
      </c>
    </row>
    <row r="14" ht="15.75" customHeight="1" s="173">
      <c r="B14" s="209" t="n"/>
      <c r="C14" s="209" t="n"/>
      <c r="D14" s="5" t="inlineStr">
        <is>
          <t>사진보정</t>
        </is>
      </c>
      <c r="E14" s="20" t="n">
        <v>1</v>
      </c>
      <c r="F14" s="20" t="inlineStr">
        <is>
          <t>Series</t>
        </is>
      </c>
      <c r="G14" s="20" t="n">
        <v>3</v>
      </c>
      <c r="H14" s="20" t="inlineStr">
        <is>
          <t>이미지</t>
        </is>
      </c>
      <c r="I14" s="33" t="n">
        <v>100000</v>
      </c>
      <c r="J14" s="33">
        <f>E14*G14*I14</f>
        <v/>
      </c>
      <c r="K14" s="19" t="inlineStr">
        <is>
          <t>인물 당, 화보이미지 3장 (*이미지 추가 보정 시, 비용 별도 협의)</t>
        </is>
      </c>
    </row>
    <row r="15" ht="15.75" customHeight="1" s="173">
      <c r="B15" s="209" t="n"/>
      <c r="C15" s="209" t="n"/>
      <c r="D15" s="5" t="inlineStr">
        <is>
          <t>영상 편집</t>
        </is>
      </c>
      <c r="E15" s="20" t="n">
        <v>1</v>
      </c>
      <c r="F15" s="20" t="inlineStr">
        <is>
          <t>Series</t>
        </is>
      </c>
      <c r="G15" s="20" t="n">
        <v>2</v>
      </c>
      <c r="H15" s="20" t="inlineStr">
        <is>
          <t>숏폼</t>
        </is>
      </c>
      <c r="I15" s="33" t="n">
        <v>400000</v>
      </c>
      <c r="J15" s="33">
        <f>E15*G15*I15</f>
        <v/>
      </c>
      <c r="K15" s="19" t="inlineStr">
        <is>
          <t>숏폼 2건 (#1 라이프스타일 30'' / #2 인터뷰 50'')</t>
        </is>
      </c>
    </row>
    <row r="16">
      <c r="B16" s="209" t="n"/>
      <c r="C16" s="210" t="inlineStr">
        <is>
          <t>소계 ①</t>
        </is>
      </c>
      <c r="D16" s="211" t="n"/>
      <c r="E16" s="211" t="n"/>
      <c r="F16" s="211" t="n"/>
      <c r="G16" s="211" t="n"/>
      <c r="H16" s="211" t="n"/>
      <c r="I16" s="212" t="n"/>
      <c r="J16" s="11">
        <f>SUM(J11:J15)</f>
        <v/>
      </c>
      <c r="K16" s="12" t="n"/>
    </row>
    <row r="17" ht="15.75" customHeight="1" s="173">
      <c r="B17" s="209" t="n"/>
      <c r="C17" s="155" t="inlineStr">
        <is>
          <t>먹방토크형 
(*취하지아니한가)
[구성] 숏폼3</t>
        </is>
      </c>
      <c r="D17" s="5" t="inlineStr">
        <is>
          <t>기획</t>
        </is>
      </c>
      <c r="E17" s="20" t="n">
        <v>1</v>
      </c>
      <c r="F17" s="20" t="inlineStr">
        <is>
          <t>Series</t>
        </is>
      </c>
      <c r="G17" s="20" t="n">
        <v>1</v>
      </c>
      <c r="H17" s="20" t="inlineStr">
        <is>
          <t>회</t>
        </is>
      </c>
      <c r="I17" s="33" t="n">
        <v>300000</v>
      </c>
      <c r="J17" s="33">
        <f>E17*G17*I17</f>
        <v/>
      </c>
      <c r="K17" s="22" t="inlineStr">
        <is>
          <t>내용 관련 정보 스터디, 질문지 구성</t>
        </is>
      </c>
    </row>
    <row r="18">
      <c r="B18" s="209" t="n"/>
      <c r="C18" s="209" t="n"/>
      <c r="D18" s="20" t="inlineStr">
        <is>
          <t>인물 출연료</t>
        </is>
      </c>
      <c r="E18" s="20" t="n">
        <v>1</v>
      </c>
      <c r="F18" s="20" t="inlineStr">
        <is>
          <t>Series</t>
        </is>
      </c>
      <c r="G18" s="20" t="n">
        <v>2</v>
      </c>
      <c r="H18" s="20" t="inlineStr">
        <is>
          <t>인</t>
        </is>
      </c>
      <c r="I18" s="33" t="n">
        <v>300000</v>
      </c>
      <c r="J18" s="33">
        <f>E18*G18*I18</f>
        <v/>
      </c>
      <c r="K18" s="22" t="inlineStr">
        <is>
          <t>*평균가, 호스트(외국인,고정) ↔ 게스트(시리즈 별 교체)</t>
        </is>
      </c>
    </row>
    <row r="19">
      <c r="B19" s="209" t="n"/>
      <c r="C19" s="209" t="n"/>
      <c r="D19" s="20" t="inlineStr">
        <is>
          <t>촬영</t>
        </is>
      </c>
      <c r="E19" s="20" t="n">
        <v>1</v>
      </c>
      <c r="F19" s="20" t="inlineStr">
        <is>
          <t>Series</t>
        </is>
      </c>
      <c r="G19" s="20" t="n">
        <v>2</v>
      </c>
      <c r="H19" s="20" t="inlineStr">
        <is>
          <t>set</t>
        </is>
      </c>
      <c r="I19" s="33" t="n">
        <v>300000</v>
      </c>
      <c r="J19" s="33">
        <f>E19*G19*I19</f>
        <v/>
      </c>
      <c r="K19" s="22" t="n"/>
    </row>
    <row r="20">
      <c r="B20" s="209" t="n"/>
      <c r="C20" s="209" t="n"/>
      <c r="D20" s="20" t="inlineStr">
        <is>
          <t>영상 편집</t>
        </is>
      </c>
      <c r="E20" s="20" t="n">
        <v>1</v>
      </c>
      <c r="F20" s="20" t="inlineStr">
        <is>
          <t>Series</t>
        </is>
      </c>
      <c r="G20" s="20" t="n">
        <v>3</v>
      </c>
      <c r="H20" s="20" t="inlineStr">
        <is>
          <t>숏폼</t>
        </is>
      </c>
      <c r="I20" s="33" t="n">
        <v>400000</v>
      </c>
      <c r="J20" s="33">
        <f>E20*G20*I20</f>
        <v/>
      </c>
      <c r="K20" s="22" t="n"/>
    </row>
    <row r="21">
      <c r="B21" s="209" t="n"/>
      <c r="C21" s="210" t="inlineStr">
        <is>
          <t>소계 ②</t>
        </is>
      </c>
      <c r="D21" s="211" t="n"/>
      <c r="E21" s="211" t="n"/>
      <c r="F21" s="211" t="n"/>
      <c r="G21" s="211" t="n"/>
      <c r="H21" s="211" t="n"/>
      <c r="I21" s="212" t="n"/>
      <c r="J21" s="11">
        <f>SUM(J17:J20)</f>
        <v/>
      </c>
      <c r="K21" s="12" t="n"/>
    </row>
    <row r="22">
      <c r="B22" s="209" t="n"/>
      <c r="C22" s="42" t="inlineStr">
        <is>
          <t>TPO공감형
(*1막1장)
[구성] 숏폼2</t>
        </is>
      </c>
      <c r="D22" s="20" t="inlineStr">
        <is>
          <t>기획</t>
        </is>
      </c>
      <c r="E22" s="20" t="n">
        <v>1</v>
      </c>
      <c r="F22" s="20" t="inlineStr">
        <is>
          <t>Series</t>
        </is>
      </c>
      <c r="G22" s="20" t="n">
        <v>1</v>
      </c>
      <c r="H22" s="20" t="inlineStr">
        <is>
          <t>회</t>
        </is>
      </c>
      <c r="I22" s="33" t="n">
        <v>200000</v>
      </c>
      <c r="J22" s="33">
        <f>E22*G22*I22</f>
        <v/>
      </c>
      <c r="K22" s="22" t="inlineStr">
        <is>
          <t>컨셉 구성, 시놉시스 구성</t>
        </is>
      </c>
    </row>
    <row r="23">
      <c r="B23" s="209" t="n"/>
      <c r="C23" s="209" t="n"/>
      <c r="D23" s="20" t="inlineStr">
        <is>
          <t>촬영</t>
        </is>
      </c>
      <c r="E23" s="20" t="n">
        <v>1</v>
      </c>
      <c r="F23" s="20" t="inlineStr">
        <is>
          <t>Series</t>
        </is>
      </c>
      <c r="G23" s="20" t="n">
        <v>1</v>
      </c>
      <c r="H23" s="20" t="inlineStr">
        <is>
          <t>회</t>
        </is>
      </c>
      <c r="I23" s="33" t="n">
        <v>300000</v>
      </c>
      <c r="J23" s="33" t="n">
        <v>600000</v>
      </c>
      <c r="K23" s="22" t="n"/>
    </row>
    <row r="24">
      <c r="B24" s="209" t="n"/>
      <c r="C24" s="216" t="n"/>
      <c r="D24" s="20" t="inlineStr">
        <is>
          <t>영상 편집</t>
        </is>
      </c>
      <c r="E24" s="20" t="n">
        <v>1</v>
      </c>
      <c r="F24" s="20" t="inlineStr">
        <is>
          <t>Series</t>
        </is>
      </c>
      <c r="G24" s="20" t="n">
        <v>2</v>
      </c>
      <c r="H24" s="20" t="inlineStr">
        <is>
          <t>숏폼</t>
        </is>
      </c>
      <c r="I24" s="33" t="n">
        <v>400000</v>
      </c>
      <c r="J24" s="33">
        <f>E24*G24*I24</f>
        <v/>
      </c>
      <c r="K24" s="22" t="n"/>
    </row>
    <row r="25">
      <c r="B25" s="216" t="n"/>
      <c r="C25" s="210" t="inlineStr">
        <is>
          <t>소계 ③</t>
        </is>
      </c>
      <c r="D25" s="211" t="n"/>
      <c r="E25" s="211" t="n"/>
      <c r="F25" s="211" t="n"/>
      <c r="G25" s="211" t="n"/>
      <c r="H25" s="211" t="n"/>
      <c r="I25" s="212" t="n"/>
      <c r="J25" s="11">
        <f>SUM(J22:J24)</f>
        <v/>
      </c>
      <c r="K25" s="12" t="n"/>
    </row>
    <row r="26">
      <c r="B26" s="162" t="inlineStr">
        <is>
          <t>비정기
콘텐츠</t>
        </is>
      </c>
      <c r="C26" s="207" t="inlineStr">
        <is>
          <t>AI스터디, 홍보/이벤트성 콘텐츠 등 제작 지원</t>
        </is>
      </c>
      <c r="D26" s="214" t="n"/>
      <c r="E26" s="214" t="n"/>
      <c r="F26" s="214" t="n"/>
      <c r="G26" s="207" t="n"/>
      <c r="H26" s="207" t="n"/>
      <c r="I26" s="152" t="n"/>
      <c r="J26" s="153" t="n">
        <v>800000</v>
      </c>
      <c r="K26" s="22" t="inlineStr">
        <is>
          <t>매월 기본 2건 (추가 시 개별 단가 적용, 미진행 시 이월) 
AI 스터디 진행에 대한 리소스 포함</t>
        </is>
      </c>
    </row>
    <row r="27">
      <c r="B27" s="42" t="inlineStr">
        <is>
          <t>채널 운영 및 콘텐츠 업로드 지원</t>
        </is>
      </c>
      <c r="C27" s="214" t="n"/>
      <c r="D27" s="214" t="n"/>
      <c r="E27" s="214" t="n"/>
      <c r="F27" s="214" t="n"/>
      <c r="G27" s="214" t="n"/>
      <c r="H27" s="214" t="n"/>
      <c r="I27" s="215" t="n"/>
      <c r="J27" s="153" t="n">
        <v>200000</v>
      </c>
      <c r="K27" s="22" t="n"/>
    </row>
    <row r="28">
      <c r="B28" s="220" t="inlineStr">
        <is>
          <t>SUM ①+②+③</t>
        </is>
      </c>
      <c r="C28" s="214" t="n"/>
      <c r="D28" s="214" t="n"/>
      <c r="E28" s="214" t="n"/>
      <c r="F28" s="214" t="n"/>
      <c r="G28" s="214" t="n"/>
      <c r="H28" s="214" t="n"/>
      <c r="I28" s="215" t="n"/>
      <c r="J28" s="28">
        <f>J16+J21+J25+J26+J27</f>
        <v/>
      </c>
      <c r="K28" s="154" t="n"/>
    </row>
    <row r="29" ht="15.75" customHeight="1" s="173">
      <c r="A29" s="181" t="n"/>
      <c r="B29" s="181" t="n"/>
      <c r="C29" s="181" t="n"/>
      <c r="D29" s="181" t="n"/>
      <c r="E29" s="181" t="n"/>
      <c r="F29" s="181" t="n"/>
      <c r="G29" s="181" t="n"/>
      <c r="H29" s="181" t="n"/>
      <c r="I29" s="32" t="n"/>
      <c r="J29" s="32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81" t="n"/>
      <c r="U29" s="181" t="n"/>
      <c r="V29" s="181" t="n"/>
      <c r="W29" s="181" t="n"/>
      <c r="X29" s="181" t="n"/>
      <c r="Y29" s="181" t="n"/>
      <c r="Z29" s="181" t="n"/>
      <c r="AA29" s="181" t="n"/>
      <c r="AB29" s="181" t="n"/>
      <c r="AC29" s="181" t="n"/>
      <c r="AD29" s="181" t="n"/>
    </row>
    <row r="30">
      <c r="B30" s="213" t="inlineStr">
        <is>
          <t>▼비정기▼ 매월, 진행 내용에 맞춰 추가 청구 (2건 이상 시)</t>
        </is>
      </c>
      <c r="C30" s="214" t="n"/>
      <c r="D30" s="214" t="n"/>
      <c r="E30" s="214" t="n"/>
      <c r="F30" s="214" t="n"/>
      <c r="G30" s="214" t="n"/>
      <c r="H30" s="214" t="n"/>
      <c r="I30" s="215" t="n"/>
      <c r="J30" s="14" t="n"/>
      <c r="K30" s="14" t="n"/>
    </row>
    <row r="31" ht="15.75" customHeight="1" s="173">
      <c r="B31" s="42" t="inlineStr">
        <is>
          <t>비정기
콘텐츠</t>
        </is>
      </c>
      <c r="C31" s="221" t="inlineStr">
        <is>
          <t>AI 스터디</t>
        </is>
      </c>
      <c r="D31" s="5" t="inlineStr">
        <is>
          <t>AI 기획 지원</t>
        </is>
      </c>
      <c r="E31" s="20" t="n">
        <v>1</v>
      </c>
      <c r="F31" s="20" t="inlineStr">
        <is>
          <t>Series</t>
        </is>
      </c>
      <c r="G31" s="20" t="n">
        <v>1</v>
      </c>
      <c r="H31" s="20" t="inlineStr">
        <is>
          <t>회</t>
        </is>
      </c>
      <c r="I31" s="33" t="n">
        <v>200000</v>
      </c>
      <c r="J31" s="33">
        <f>E31*G31*I31</f>
        <v/>
      </c>
      <c r="K31" s="22" t="inlineStr">
        <is>
          <t>컨셉 기획, 프롬프트 설계</t>
        </is>
      </c>
    </row>
    <row r="32" ht="15.75" customHeight="1" s="173">
      <c r="B32" s="209" t="n"/>
      <c r="C32" s="209" t="n"/>
      <c r="D32" s="5" t="inlineStr">
        <is>
          <t>[이미지] AI 제작 지원</t>
        </is>
      </c>
      <c r="E32" s="20" t="n">
        <v>1</v>
      </c>
      <c r="F32" s="20" t="inlineStr">
        <is>
          <t>Series</t>
        </is>
      </c>
      <c r="G32" s="20" t="n">
        <v>1</v>
      </c>
      <c r="H32" s="20" t="inlineStr">
        <is>
          <t>회</t>
        </is>
      </c>
      <c r="I32" s="33" t="n">
        <v>250000</v>
      </c>
      <c r="J32" s="33">
        <f>E32*G32*I32</f>
        <v/>
      </c>
      <c r="K32" s="22" t="inlineStr">
        <is>
          <t>이미지 Upscale, 후보정</t>
        </is>
      </c>
    </row>
    <row r="33" ht="15.75" customHeight="1" s="173">
      <c r="B33" s="209" t="n"/>
      <c r="C33" s="216" t="n"/>
      <c r="D33" s="5" t="inlineStr">
        <is>
          <t>[영상] AI 제작/편집 지원</t>
        </is>
      </c>
      <c r="E33" s="20" t="n">
        <v>1</v>
      </c>
      <c r="F33" s="20" t="inlineStr">
        <is>
          <t>Series</t>
        </is>
      </c>
      <c r="G33" s="20" t="n">
        <v>1</v>
      </c>
      <c r="H33" s="20" t="inlineStr">
        <is>
          <t>회</t>
        </is>
      </c>
      <c r="I33" s="33" t="n">
        <v>250000</v>
      </c>
      <c r="J33" s="33">
        <f>E33*G33*I33</f>
        <v/>
      </c>
      <c r="K33" s="22" t="inlineStr">
        <is>
          <t>영상 Upscale</t>
        </is>
      </c>
    </row>
    <row r="34" ht="15.75" customHeight="1" s="173">
      <c r="B34" s="209" t="n"/>
      <c r="C34" s="221" t="inlineStr">
        <is>
          <t>홍보/이벤트</t>
        </is>
      </c>
      <c r="D34" s="5" t="inlineStr">
        <is>
          <t>기획 및 이벤트 운영 지원</t>
        </is>
      </c>
      <c r="E34" s="20" t="n">
        <v>1</v>
      </c>
      <c r="F34" s="20" t="inlineStr">
        <is>
          <t>Series</t>
        </is>
      </c>
      <c r="G34" s="20" t="n">
        <v>1</v>
      </c>
      <c r="H34" s="20" t="inlineStr">
        <is>
          <t>회</t>
        </is>
      </c>
      <c r="I34" s="247" t="n"/>
      <c r="J34" s="215" t="n"/>
      <c r="K34" s="36" t="inlineStr">
        <is>
          <t>이벤트 규모에 따라 별도 협의</t>
        </is>
      </c>
    </row>
    <row r="35" ht="15.75" customHeight="1" s="173">
      <c r="B35" s="209" t="n"/>
      <c r="C35" s="209" t="n"/>
      <c r="D35" s="5" t="inlineStr">
        <is>
          <t>소재 제작</t>
        </is>
      </c>
      <c r="E35" s="20" t="n">
        <v>1</v>
      </c>
      <c r="F35" s="20" t="inlineStr">
        <is>
          <t>Series</t>
        </is>
      </c>
      <c r="G35" s="20" t="n">
        <v>1</v>
      </c>
      <c r="H35" s="20" t="inlineStr">
        <is>
          <t>회</t>
        </is>
      </c>
      <c r="I35" s="22" t="n">
        <v>300000</v>
      </c>
      <c r="J35" s="33">
        <f>E35*G35*I35</f>
        <v/>
      </c>
      <c r="K35" s="36" t="inlineStr">
        <is>
          <t>피드 기준 소재 제작</t>
        </is>
      </c>
    </row>
    <row r="36" ht="15.75" customHeight="1" s="173">
      <c r="B36" s="216" t="n"/>
      <c r="C36" s="216" t="n"/>
      <c r="D36" s="5" t="inlineStr">
        <is>
          <t>이벤트 운영 지원</t>
        </is>
      </c>
      <c r="E36" s="20" t="n">
        <v>1</v>
      </c>
      <c r="F36" s="20" t="inlineStr">
        <is>
          <t>Series</t>
        </is>
      </c>
      <c r="G36" s="20" t="n">
        <v>1</v>
      </c>
      <c r="H36" s="20" t="inlineStr">
        <is>
          <t>회</t>
        </is>
      </c>
      <c r="I36" s="22" t="n">
        <v>800000</v>
      </c>
      <c r="J36" s="33">
        <f>E36*G36*I36</f>
        <v/>
      </c>
      <c r="K36" s="36" t="inlineStr">
        <is>
          <t>영상(릴스)형 콘텐츠 제작</t>
        </is>
      </c>
    </row>
  </sheetData>
  <mergeCells count="19">
    <mergeCell ref="I34:J34"/>
    <mergeCell ref="B7:I7"/>
    <mergeCell ref="B31:B36"/>
    <mergeCell ref="C11:C15"/>
    <mergeCell ref="B27:I27"/>
    <mergeCell ref="B11:B25"/>
    <mergeCell ref="C34:C36"/>
    <mergeCell ref="C17:C20"/>
    <mergeCell ref="C26:F26"/>
    <mergeCell ref="B28:I28"/>
    <mergeCell ref="C16:I16"/>
    <mergeCell ref="C25:I25"/>
    <mergeCell ref="B5:B6"/>
    <mergeCell ref="B9:I9"/>
    <mergeCell ref="B30:I30"/>
    <mergeCell ref="C31:C33"/>
    <mergeCell ref="C21:I21"/>
    <mergeCell ref="C22:C24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2026-02-09T06:22:59Z</dcterms:created>
  <dcterms:modified xmlns:dcterms="http://purl.org/dc/terms/" xmlns:xsi="http://www.w3.org/2001/XMLSchema-instance" xsi:type="dcterms:W3CDTF">2026-02-09T06:23:53Z</dcterms:modified>
  <cp:lastModifiedBy>Microsoft Office User</cp:lastModifiedBy>
</cp:coreProperties>
</file>