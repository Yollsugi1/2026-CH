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순당포착 세부 단가" sheetId="1" state="visible" r:id="rId1"/>
    <sheet xmlns:r="http://schemas.openxmlformats.org/officeDocument/2006/relationships" name="1막1장 세부 단가" sheetId="2" state="visible" r:id="rId2"/>
    <sheet xmlns:r="http://schemas.openxmlformats.org/officeDocument/2006/relationships" name="비정기 콘텐츠 + 운영" sheetId="3" state="visible" r:id="rId3"/>
    <sheet xmlns:r="http://schemas.openxmlformats.org/officeDocument/2006/relationships" name="시나리오 매트릭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1" fillId="0" borderId="1" pivotButton="0" quotePrefix="0" xfId="0"/>
    <xf numFmtId="1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1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164" fontId="2" fillId="3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3" borderId="1" pivotButton="0" quotePrefix="0" xfId="0"/>
    <xf numFmtId="165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8" customWidth="1" min="4" max="4"/>
    <col width="15" customWidth="1" min="5" max="5"/>
    <col width="35" customWidth="1" min="6" max="6"/>
  </cols>
  <sheetData>
    <row r="1">
      <c r="A1" s="1" t="inlineStr">
        <is>
          <t>순당포착 풀세트 (캐러셀1+숏폼2) = ₩2,700,000</t>
        </is>
      </c>
    </row>
    <row r="2">
      <c r="A2" s="2" t="inlineStr">
        <is>
          <t>인당 시간당 단가: ₩50,000</t>
        </is>
      </c>
    </row>
    <row r="4">
      <c r="A4" s="3" t="inlineStr">
        <is>
          <t>대분류</t>
        </is>
      </c>
      <c r="B4" s="3" t="inlineStr">
        <is>
          <t>항목</t>
        </is>
      </c>
      <c r="C4" s="3" t="inlineStr">
        <is>
          <t>인원×시간</t>
        </is>
      </c>
      <c r="D4" s="3" t="inlineStr">
        <is>
          <t>M/H</t>
        </is>
      </c>
      <c r="E4" s="3" t="inlineStr">
        <is>
          <t>단가(₩)</t>
        </is>
      </c>
      <c r="F4" s="3" t="inlineStr">
        <is>
          <t>비고</t>
        </is>
      </c>
    </row>
    <row r="5">
      <c r="A5" s="4" t="inlineStr">
        <is>
          <t>기획</t>
        </is>
      </c>
      <c r="B5" s="4" t="inlineStr">
        <is>
          <t>인터뷰 및 해당 촬영 기획</t>
        </is>
      </c>
      <c r="C5" s="5" t="inlineStr">
        <is>
          <t>1명×4h</t>
        </is>
      </c>
      <c r="D5" s="5" t="n">
        <v>4</v>
      </c>
      <c r="E5" s="6" t="n">
        <v>200000</v>
      </c>
      <c r="F5" s="4" t="inlineStr">
        <is>
          <t>답사 후 인터뷰지 구성, 촬영기획, 레퍼런스 탐색, 캐릭터 기획</t>
        </is>
      </c>
    </row>
    <row r="6">
      <c r="A6" s="4" t="inlineStr">
        <is>
          <t>기획</t>
        </is>
      </c>
      <c r="B6" s="4" t="inlineStr">
        <is>
          <t>답사</t>
        </is>
      </c>
      <c r="C6" s="5" t="inlineStr">
        <is>
          <t>1명×3h</t>
        </is>
      </c>
      <c r="D6" s="5" t="n">
        <v>3</v>
      </c>
      <c r="E6" s="6" t="n">
        <v>150000</v>
      </c>
      <c r="F6" s="4" t="inlineStr"/>
    </row>
    <row r="7">
      <c r="A7" s="4" t="inlineStr">
        <is>
          <t>촬영</t>
        </is>
      </c>
      <c r="B7" s="4" t="inlineStr">
        <is>
          <t>촬영</t>
        </is>
      </c>
      <c r="C7" s="5" t="inlineStr">
        <is>
          <t>2명×6h</t>
        </is>
      </c>
      <c r="D7" s="5" t="n">
        <v>12</v>
      </c>
      <c r="E7" s="6" t="n">
        <v>600000</v>
      </c>
      <c r="F7" s="4" t="inlineStr">
        <is>
          <t>2인 투입(영상1+사진1), 준비1h+실내4h+주변1h</t>
        </is>
      </c>
    </row>
    <row r="8">
      <c r="A8" s="4" t="inlineStr">
        <is>
          <t>캐러셀 편집</t>
        </is>
      </c>
      <c r="B8" s="4" t="inlineStr">
        <is>
          <t>사진 보정</t>
        </is>
      </c>
      <c r="C8" s="5" t="inlineStr">
        <is>
          <t>1명×3h</t>
        </is>
      </c>
      <c r="D8" s="5" t="n">
        <v>3</v>
      </c>
      <c r="E8" s="6" t="n">
        <v>150000</v>
      </c>
      <c r="F8" s="4" t="inlineStr">
        <is>
          <t>피드용 화보 컷 보정</t>
        </is>
      </c>
    </row>
    <row r="9">
      <c r="A9" s="4" t="inlineStr">
        <is>
          <t>캐러셀 편집</t>
        </is>
      </c>
      <c r="B9" s="4" t="inlineStr">
        <is>
          <t>캐러셀 디자인·편집</t>
        </is>
      </c>
      <c r="C9" s="5" t="inlineStr">
        <is>
          <t>1명×4h</t>
        </is>
      </c>
      <c r="D9" s="5" t="n">
        <v>4</v>
      </c>
      <c r="E9" s="6" t="n">
        <v>200000</v>
      </c>
      <c r="F9" s="4" t="inlineStr"/>
    </row>
    <row r="10">
      <c r="A10" s="4" t="inlineStr">
        <is>
          <t>영상 편집</t>
        </is>
      </c>
      <c r="B10" s="4" t="inlineStr">
        <is>
          <t>영상기획 (전체)</t>
        </is>
      </c>
      <c r="C10" s="5" t="inlineStr">
        <is>
          <t>3명×2h</t>
        </is>
      </c>
      <c r="D10" s="5" t="n">
        <v>6</v>
      </c>
      <c r="E10" s="6" t="n">
        <v>300000</v>
      </c>
      <c r="F10" s="4" t="inlineStr">
        <is>
          <t>전체기획미팅, 상세레퍼런스 서치</t>
        </is>
      </c>
    </row>
    <row r="11">
      <c r="A11" s="4" t="inlineStr">
        <is>
          <t>영상 편집</t>
        </is>
      </c>
      <c r="B11" s="4" t="inlineStr">
        <is>
          <t>숏폼#1 기획+편집</t>
        </is>
      </c>
      <c r="C11" s="5" t="inlineStr">
        <is>
          <t>1명×3h + 1명×8h</t>
        </is>
      </c>
      <c r="D11" s="5" t="n">
        <v>11</v>
      </c>
      <c r="E11" s="6" t="n">
        <v>550000</v>
      </c>
      <c r="F11" s="4" t="inlineStr">
        <is>
          <t>세부 숏폼 기획 + 편집, 수정편집 포함</t>
        </is>
      </c>
    </row>
    <row r="12">
      <c r="A12" s="4" t="inlineStr">
        <is>
          <t>영상 편집</t>
        </is>
      </c>
      <c r="B12" s="4" t="inlineStr">
        <is>
          <t>숏폼#2 기획+편집</t>
        </is>
      </c>
      <c r="C12" s="5" t="inlineStr">
        <is>
          <t>1명×3h + 1명×8h</t>
        </is>
      </c>
      <c r="D12" s="5" t="n">
        <v>11</v>
      </c>
      <c r="E12" s="6" t="n">
        <v>550000</v>
      </c>
      <c r="F12" s="4" t="inlineStr">
        <is>
          <t>세부 숏폼 기획 + 편집, 수정편집 포함</t>
        </is>
      </c>
    </row>
    <row r="13">
      <c r="B13" s="7" t="inlineStr">
        <is>
          <t>합계</t>
        </is>
      </c>
      <c r="D13" s="8">
        <f>SUM(D5:D12)</f>
        <v/>
      </c>
      <c r="E13" s="9">
        <f>SUM(E5:E12)</f>
        <v/>
      </c>
      <c r="F13" s="10" t="inlineStr">
        <is>
          <t>기타 촬영/편집 관련 제작 실비는 별도 청구</t>
        </is>
      </c>
    </row>
    <row r="15">
      <c r="A15" s="2" t="inlineStr">
        <is>
          <t>1회 촬영 시 발생하는 고정금액: ₩1,600,000</t>
        </is>
      </c>
    </row>
    <row r="16">
      <c r="A16" s="11" t="inlineStr">
        <is>
          <t>기획 ₩200,000 + 답사 ₩150,000 + 촬영 ₩600,000 + 사진보정 ₩150,000 + 캐러셀디자인 ₩200,000 + 영상기획(전체) ₩300,000</t>
        </is>
      </c>
    </row>
    <row r="17">
      <c r="A17" s="11" t="inlineStr">
        <is>
          <t>산출물 1개 영상에 대한 변동비: ₩550,000/편 (세부 숏폼 기획 ₩150,000 + 편집 ₩400,000)</t>
        </is>
      </c>
    </row>
    <row r="19">
      <c r="A19" s="2" t="inlineStr">
        <is>
          <t>풀세트(캐러셀1+숏폼2): ₩1,600,000 + ₩550,000×2 = ₩2,700,000</t>
        </is>
      </c>
    </row>
    <row r="20">
      <c r="A20" s="2" t="inlineStr">
        <is>
          <t>축소세트(캐러셀1+숏폼1): ₩1,600,000 + ₩550,000×1 = ₩2,150,000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8" customWidth="1" min="4" max="4"/>
    <col width="15" customWidth="1" min="5" max="5"/>
    <col width="35" customWidth="1" min="6" max="6"/>
  </cols>
  <sheetData>
    <row r="1">
      <c r="A1" s="1" t="inlineStr">
        <is>
          <t>1막1장 기본세트 (숏폼2) = ₩1,550,000</t>
        </is>
      </c>
    </row>
    <row r="3">
      <c r="A3" s="3" t="inlineStr">
        <is>
          <t>대분류</t>
        </is>
      </c>
      <c r="B3" s="3" t="inlineStr">
        <is>
          <t>항목</t>
        </is>
      </c>
      <c r="C3" s="3" t="inlineStr">
        <is>
          <t>인원×시간</t>
        </is>
      </c>
      <c r="D3" s="3" t="inlineStr">
        <is>
          <t>M/H</t>
        </is>
      </c>
      <c r="E3" s="3" t="inlineStr">
        <is>
          <t>단가(₩)</t>
        </is>
      </c>
      <c r="F3" s="3" t="inlineStr">
        <is>
          <t>비고</t>
        </is>
      </c>
    </row>
    <row r="4">
      <c r="A4" s="4" t="inlineStr">
        <is>
          <t>기획</t>
        </is>
      </c>
      <c r="B4" s="4" t="inlineStr">
        <is>
          <t>기획</t>
        </is>
      </c>
      <c r="C4" s="5" t="inlineStr">
        <is>
          <t>1명×4h</t>
        </is>
      </c>
      <c r="D4" s="5" t="n">
        <v>4</v>
      </c>
      <c r="E4" s="6" t="n">
        <v>200000</v>
      </c>
      <c r="F4" s="4" t="inlineStr">
        <is>
          <t>데스크리서치, 레퍼런스, 기획</t>
        </is>
      </c>
    </row>
    <row r="5">
      <c r="A5" s="4" t="inlineStr">
        <is>
          <t>촬영</t>
        </is>
      </c>
      <c r="B5" s="4" t="inlineStr">
        <is>
          <t>촬영</t>
        </is>
      </c>
      <c r="C5" s="5" t="inlineStr">
        <is>
          <t>2명×6h</t>
        </is>
      </c>
      <c r="D5" s="5" t="n">
        <v>12</v>
      </c>
      <c r="E5" s="6" t="n">
        <v>600000</v>
      </c>
      <c r="F5" s="4" t="inlineStr">
        <is>
          <t>2인 투입(핸드헬드캠1+짐벌캠1)</t>
        </is>
      </c>
    </row>
    <row r="6">
      <c r="A6" s="4" t="inlineStr">
        <is>
          <t>촬영</t>
        </is>
      </c>
      <c r="B6" s="4" t="inlineStr">
        <is>
          <t>촬영 색보정</t>
        </is>
      </c>
      <c r="C6" s="5" t="inlineStr">
        <is>
          <t>1명×3h</t>
        </is>
      </c>
      <c r="D6" s="5" t="n">
        <v>3</v>
      </c>
      <c r="E6" s="6" t="n">
        <v>150000</v>
      </c>
      <c r="F6" s="4" t="inlineStr"/>
    </row>
    <row r="7">
      <c r="A7" s="4" t="inlineStr">
        <is>
          <t>영상 편집</t>
        </is>
      </c>
      <c r="B7" s="4" t="inlineStr">
        <is>
          <t>숏폼#1 편집</t>
        </is>
      </c>
      <c r="C7" s="5" t="inlineStr">
        <is>
          <t>1명×6h</t>
        </is>
      </c>
      <c r="D7" s="5" t="n">
        <v>6</v>
      </c>
      <c r="E7" s="6" t="n">
        <v>300000</v>
      </c>
      <c r="F7" s="4" t="inlineStr">
        <is>
          <t>수정편집 포함</t>
        </is>
      </c>
    </row>
    <row r="8">
      <c r="A8" s="4" t="inlineStr">
        <is>
          <t>영상 편집</t>
        </is>
      </c>
      <c r="B8" s="4" t="inlineStr">
        <is>
          <t>숏폼#2 편집</t>
        </is>
      </c>
      <c r="C8" s="5" t="inlineStr">
        <is>
          <t>1명×6h</t>
        </is>
      </c>
      <c r="D8" s="5" t="n">
        <v>6</v>
      </c>
      <c r="E8" s="6" t="n">
        <v>300000</v>
      </c>
      <c r="F8" s="4" t="inlineStr">
        <is>
          <t>수정편집 포함</t>
        </is>
      </c>
    </row>
    <row r="9">
      <c r="B9" s="7" t="inlineStr">
        <is>
          <t>합계</t>
        </is>
      </c>
      <c r="D9" s="8">
        <f>SUM(D4:D8)</f>
        <v/>
      </c>
      <c r="E9" s="9">
        <f>SUM(E4:E8)</f>
        <v/>
      </c>
      <c r="F9" s="10" t="inlineStr">
        <is>
          <t>기타 촬영/편집 관련 제작 실비는 별도 청구</t>
        </is>
      </c>
    </row>
    <row r="11">
      <c r="A11" s="2" t="inlineStr">
        <is>
          <t>1회 촬영 시 발생하는 고정금액: ₩950,000 (기획 ₩200,000 + 촬영 ₩600,000 + 색보정 ₩150,000)</t>
        </is>
      </c>
    </row>
    <row r="12">
      <c r="A12" s="2" t="inlineStr">
        <is>
          <t>산출물 1개 영상에 대한 변동비: ₩300,000/숏폼</t>
        </is>
      </c>
    </row>
    <row r="14">
      <c r="A14" s="2" t="inlineStr">
        <is>
          <t>숏폼1: ₩1,250,000 / 숏폼2: ₩1,550,000 / 숏폼3: ₩1,850,000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35" customWidth="1" min="4" max="4"/>
  </cols>
  <sheetData>
    <row r="1">
      <c r="A1" s="12" t="inlineStr">
        <is>
          <t>비정기 콘텐츠 + 운영</t>
        </is>
      </c>
    </row>
    <row r="3">
      <c r="A3" s="3" t="inlineStr">
        <is>
          <t>구분</t>
        </is>
      </c>
      <c r="B3" s="3" t="inlineStr">
        <is>
          <t>항목</t>
        </is>
      </c>
      <c r="C3" s="3" t="inlineStr">
        <is>
          <t>단가(₩)</t>
        </is>
      </c>
      <c r="D3" s="3" t="inlineStr">
        <is>
          <t>비고</t>
        </is>
      </c>
    </row>
    <row r="4">
      <c r="A4" s="13" t="inlineStr">
        <is>
          <t>AI 스터디</t>
        </is>
      </c>
      <c r="B4" s="13" t="inlineStr">
        <is>
          <t>AI작업툴 스터디, 컨셉 기획, 프롬프트 설계</t>
        </is>
      </c>
      <c r="C4" s="6" t="n">
        <v>200000</v>
      </c>
      <c r="D4" s="13" t="inlineStr">
        <is>
          <t>기획/프롬프트 지원</t>
        </is>
      </c>
    </row>
    <row r="5">
      <c r="A5" s="13" t="inlineStr">
        <is>
          <t>AI 스터디</t>
        </is>
      </c>
      <c r="B5" s="13" t="inlineStr">
        <is>
          <t>AI제작 지원</t>
        </is>
      </c>
      <c r="C5" s="6" t="n">
        <v>250000</v>
      </c>
      <c r="D5" s="13" t="inlineStr">
        <is>
          <t>이미지 Upscale 및 후보정</t>
        </is>
      </c>
    </row>
    <row r="6">
      <c r="A6" s="13" t="inlineStr">
        <is>
          <t>AI 스터디 소계</t>
        </is>
      </c>
      <c r="B6" s="13" t="inlineStr"/>
      <c r="C6" s="6" t="n">
        <v>450000</v>
      </c>
      <c r="D6" s="13" t="inlineStr"/>
    </row>
    <row r="7">
      <c r="A7" s="13" t="inlineStr">
        <is>
          <t>홍보/이벤트</t>
        </is>
      </c>
      <c r="B7" s="13" t="inlineStr">
        <is>
          <t>기획 및 소재제작</t>
        </is>
      </c>
      <c r="C7" s="6" t="n">
        <v>200000</v>
      </c>
      <c r="D7" s="13" t="inlineStr">
        <is>
          <t>이미지 2장 기준</t>
        </is>
      </c>
    </row>
    <row r="8">
      <c r="A8" s="13" t="inlineStr">
        <is>
          <t>홍보/이벤트</t>
        </is>
      </c>
      <c r="B8" s="13" t="inlineStr">
        <is>
          <t>이벤트 운영 지원</t>
        </is>
      </c>
      <c r="C8" s="6" t="n">
        <v>200000</v>
      </c>
      <c r="D8" s="13" t="inlineStr">
        <is>
          <t>당첨자 선정, 경품 발송 등 (*경품비 별도)</t>
        </is>
      </c>
    </row>
    <row r="9">
      <c r="A9" s="13" t="inlineStr">
        <is>
          <t>홍보/이벤트 소계</t>
        </is>
      </c>
      <c r="B9" s="13" t="inlineStr"/>
      <c r="C9" s="6" t="n">
        <v>400000</v>
      </c>
      <c r="D9" s="13" t="inlineStr"/>
    </row>
    <row r="10">
      <c r="A10" s="13" t="inlineStr">
        <is>
          <t>채널 운영</t>
        </is>
      </c>
      <c r="B10" s="13" t="inlineStr">
        <is>
          <t>채널 운영 및 콘텐츠 업로드</t>
        </is>
      </c>
      <c r="C10" s="6" t="n">
        <v>200000</v>
      </c>
      <c r="D10" s="13" t="inlineStr">
        <is>
          <t>월정액</t>
        </is>
      </c>
    </row>
    <row r="12">
      <c r="A12" s="14" t="inlineStr">
        <is>
          <t>* 1회 세션 준비 시 세션 준비(6h)+자료제작(4h)+세션 진행(3h) 정도 소요되었음. 초기 논의 시 비정기 콘텐츠는 단순 시간 단위로 나누기보다, 고정금액으로 이월 요소를 반영해 정기 콘텐츠 외 지원 수요를 고정적으로 반영하기 위한 목적으로 산정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2" t="inlineStr">
        <is>
          <t>가격 매트릭스 (할인 적용 후 청구금액)</t>
        </is>
      </c>
    </row>
    <row r="2">
      <c r="A2" s="11" t="inlineStr">
        <is>
          <t>* 모든 금액에는 비정기(AI스터디 ₩450,000 + 홍보이벤트 ₩400,000) + 채널운영 ₩200,000 = ₩1,050,000 포함</t>
        </is>
      </c>
    </row>
    <row r="3">
      <c r="A3" s="2" t="inlineStr">
        <is>
          <t>* 월 최저 계약금액 ₩7,500,000 / 만단위 절삭</t>
        </is>
      </c>
    </row>
    <row r="5">
      <c r="A5" s="12" t="inlineStr">
        <is>
          <t>Raw Value Matrix (할인 전)</t>
        </is>
      </c>
    </row>
    <row r="6">
      <c r="A6" s="3" t="inlineStr">
        <is>
          <t>순당포착 \ 1막1장</t>
        </is>
      </c>
      <c r="B6" s="3" t="inlineStr">
        <is>
          <t>숏폼1</t>
        </is>
      </c>
      <c r="C6" s="3" t="inlineStr">
        <is>
          <t>숏폼2 (현재)</t>
        </is>
      </c>
      <c r="D6" s="3" t="inlineStr">
        <is>
          <t>숏폼3</t>
        </is>
      </c>
    </row>
    <row r="7">
      <c r="A7" s="4" t="inlineStr">
        <is>
          <t>풀×1</t>
        </is>
      </c>
      <c r="B7" s="6" t="n">
        <v>5000000</v>
      </c>
      <c r="C7" s="6" t="n">
        <v>5300000</v>
      </c>
      <c r="D7" s="6" t="n">
        <v>5600000</v>
      </c>
    </row>
    <row r="8">
      <c r="A8" s="4" t="inlineStr">
        <is>
          <t>축소×2</t>
        </is>
      </c>
      <c r="B8" s="6" t="n">
        <v>6600000</v>
      </c>
      <c r="C8" s="6" t="n">
        <v>6900000</v>
      </c>
      <c r="D8" s="6" t="n">
        <v>7200000</v>
      </c>
    </row>
    <row r="9">
      <c r="A9" s="4" t="inlineStr">
        <is>
          <t>풀×2 (현재)</t>
        </is>
      </c>
      <c r="B9" s="15" t="n">
        <v>7700000</v>
      </c>
      <c r="C9" s="15" t="n">
        <v>8000000</v>
      </c>
      <c r="D9" s="15" t="n">
        <v>8300000</v>
      </c>
    </row>
    <row r="10">
      <c r="A10" s="4" t="inlineStr">
        <is>
          <t>축소×3</t>
        </is>
      </c>
      <c r="B10" s="6" t="n">
        <v>8750000</v>
      </c>
      <c r="C10" s="6" t="n">
        <v>9050000</v>
      </c>
      <c r="D10" s="6" t="n">
        <v>9350000</v>
      </c>
    </row>
    <row r="11">
      <c r="A11" s="4" t="inlineStr">
        <is>
          <t>풀×2+축소×1</t>
        </is>
      </c>
      <c r="B11" s="6" t="n">
        <v>9850000</v>
      </c>
      <c r="C11" s="6" t="n">
        <v>10150000</v>
      </c>
      <c r="D11" s="6" t="n">
        <v>10450000</v>
      </c>
    </row>
    <row r="12">
      <c r="A12" s="4" t="inlineStr">
        <is>
          <t>풀×3</t>
        </is>
      </c>
      <c r="B12" s="6" t="n">
        <v>10400000</v>
      </c>
      <c r="C12" s="6" t="n">
        <v>10700000</v>
      </c>
      <c r="D12" s="6" t="n">
        <v>11000000</v>
      </c>
    </row>
    <row r="13">
      <c r="A13" s="4" t="inlineStr">
        <is>
          <t>축소×4</t>
        </is>
      </c>
      <c r="B13" s="6" t="n">
        <v>10900000</v>
      </c>
      <c r="C13" s="6" t="n">
        <v>11200000</v>
      </c>
      <c r="D13" s="6" t="n">
        <v>11500000</v>
      </c>
    </row>
    <row r="14">
      <c r="A14" s="4" t="inlineStr">
        <is>
          <t>풀×2+축소×2</t>
        </is>
      </c>
      <c r="B14" s="6" t="n">
        <v>12000000</v>
      </c>
      <c r="C14" s="6" t="n">
        <v>12300000</v>
      </c>
      <c r="D14" s="6" t="n">
        <v>12600000</v>
      </c>
    </row>
    <row r="16">
      <c r="A16" s="12" t="inlineStr">
        <is>
          <t>Final Price Matrix (할인 적용 후)</t>
        </is>
      </c>
    </row>
    <row r="17">
      <c r="A17" s="3" t="inlineStr">
        <is>
          <t>순당포착 \ 1막1장</t>
        </is>
      </c>
      <c r="B17" s="3" t="inlineStr">
        <is>
          <t>숏폼1</t>
        </is>
      </c>
      <c r="C17" s="3" t="inlineStr">
        <is>
          <t>숏폼2 (현재)</t>
        </is>
      </c>
      <c r="D17" s="3" t="inlineStr">
        <is>
          <t>숏폼3</t>
        </is>
      </c>
    </row>
    <row r="18">
      <c r="A18" s="4" t="inlineStr">
        <is>
          <t>풀×1</t>
        </is>
      </c>
      <c r="B18" s="6" t="n">
        <v>5000000</v>
      </c>
      <c r="C18" s="6" t="n">
        <v>5300000</v>
      </c>
      <c r="D18" s="6" t="n">
        <v>5600000</v>
      </c>
    </row>
    <row r="19">
      <c r="A19" s="4" t="inlineStr">
        <is>
          <t>축소×2</t>
        </is>
      </c>
      <c r="B19" s="6" t="n">
        <v>6600000</v>
      </c>
      <c r="C19" s="6" t="n">
        <v>6900000</v>
      </c>
      <c r="D19" s="6" t="n">
        <v>7200000</v>
      </c>
    </row>
    <row r="20">
      <c r="A20" s="4" t="inlineStr">
        <is>
          <t>풀×2 (현재)</t>
        </is>
      </c>
      <c r="B20" s="15" t="n">
        <v>7500000</v>
      </c>
      <c r="C20" s="15" t="n">
        <v>7500000</v>
      </c>
      <c r="D20" s="15" t="n">
        <v>7750000</v>
      </c>
    </row>
    <row r="21">
      <c r="A21" s="4" t="inlineStr">
        <is>
          <t>축소×3</t>
        </is>
      </c>
      <c r="B21" s="6" t="n">
        <v>8100000</v>
      </c>
      <c r="C21" s="6" t="n">
        <v>8350000</v>
      </c>
      <c r="D21" s="6" t="n">
        <v>8600000</v>
      </c>
    </row>
    <row r="22">
      <c r="A22" s="4" t="inlineStr">
        <is>
          <t>풀×2+축소×1</t>
        </is>
      </c>
      <c r="B22" s="6" t="n">
        <v>9050000</v>
      </c>
      <c r="C22" s="6" t="n">
        <v>9300000</v>
      </c>
      <c r="D22" s="6" t="n">
        <v>9550000</v>
      </c>
    </row>
    <row r="23">
      <c r="A23" s="4" t="inlineStr">
        <is>
          <t>풀×3</t>
        </is>
      </c>
      <c r="B23" s="6" t="n">
        <v>9500000</v>
      </c>
      <c r="C23" s="6" t="n">
        <v>9750000</v>
      </c>
      <c r="D23" s="6" t="n">
        <v>10050000</v>
      </c>
    </row>
    <row r="24">
      <c r="A24" s="4" t="inlineStr">
        <is>
          <t>축소×4</t>
        </is>
      </c>
      <c r="B24" s="6" t="n">
        <v>9950000</v>
      </c>
      <c r="C24" s="6" t="n">
        <v>10200000</v>
      </c>
      <c r="D24" s="6" t="n">
        <v>10450000</v>
      </c>
    </row>
    <row r="25">
      <c r="A25" s="4" t="inlineStr">
        <is>
          <t>풀×2+축소×2</t>
        </is>
      </c>
      <c r="B25" s="6" t="n">
        <v>10900000</v>
      </c>
      <c r="C25" s="6" t="n">
        <v>11150000</v>
      </c>
      <c r="D25" s="6" t="n">
        <v>11400000</v>
      </c>
    </row>
    <row r="27">
      <c r="A27" s="12" t="inlineStr">
        <is>
          <t>상세 시나리오 및 할인율</t>
        </is>
      </c>
    </row>
    <row r="28">
      <c r="A28" s="3" t="inlineStr">
        <is>
          <t>#</t>
        </is>
      </c>
      <c r="B28" s="3" t="inlineStr">
        <is>
          <t>순당포착</t>
        </is>
      </c>
      <c r="C28" s="3" t="inlineStr">
        <is>
          <t>1막1장</t>
        </is>
      </c>
      <c r="D28" s="3" t="inlineStr">
        <is>
          <t>Raw</t>
        </is>
      </c>
      <c r="E28" s="3" t="inlineStr">
        <is>
          <t>할인금액</t>
        </is>
      </c>
      <c r="F28" s="3" t="inlineStr">
        <is>
          <t>청구금액</t>
        </is>
      </c>
      <c r="G28" s="3" t="inlineStr">
        <is>
          <t>할인율</t>
        </is>
      </c>
    </row>
    <row r="29">
      <c r="A29" s="4" t="inlineStr">
        <is>
          <t>E1</t>
        </is>
      </c>
      <c r="B29" s="4" t="inlineStr">
        <is>
          <t>풀×1</t>
        </is>
      </c>
      <c r="C29" s="4" t="inlineStr">
        <is>
          <t>숏폼2</t>
        </is>
      </c>
      <c r="D29" s="6" t="n">
        <v>5300000</v>
      </c>
      <c r="E29" s="6" t="n">
        <v>500000</v>
      </c>
      <c r="F29" s="6" t="n">
        <v>4800000</v>
      </c>
      <c r="G29" s="16" t="n">
        <v>0.09433962264150944</v>
      </c>
    </row>
    <row r="30">
      <c r="A30" s="4" t="inlineStr">
        <is>
          <t>E2</t>
        </is>
      </c>
      <c r="B30" s="4" t="inlineStr">
        <is>
          <t>풀×2</t>
        </is>
      </c>
      <c r="C30" s="4" t="inlineStr">
        <is>
          <t>숏폼1</t>
        </is>
      </c>
      <c r="D30" s="6" t="n">
        <v>7700000</v>
      </c>
      <c r="E30" s="6" t="n">
        <v>500000</v>
      </c>
      <c r="F30" s="6" t="n">
        <v>7200000</v>
      </c>
      <c r="G30" s="16" t="n">
        <v>0.06493506493506493</v>
      </c>
    </row>
    <row r="31">
      <c r="A31" s="4" t="inlineStr">
        <is>
          <t>E3</t>
        </is>
      </c>
      <c r="B31" s="4" t="inlineStr">
        <is>
          <t>축소×2</t>
        </is>
      </c>
      <c r="C31" s="4" t="inlineStr">
        <is>
          <t>숏폼2</t>
        </is>
      </c>
      <c r="D31" s="6" t="n">
        <v>6900000</v>
      </c>
      <c r="E31" s="6" t="n">
        <v>500000</v>
      </c>
      <c r="F31" s="6" t="n">
        <v>6400000</v>
      </c>
      <c r="G31" s="16" t="n">
        <v>0.07246376811594203</v>
      </c>
    </row>
    <row r="32">
      <c r="A32" s="17" t="inlineStr">
        <is>
          <t>A</t>
        </is>
      </c>
      <c r="B32" s="17" t="inlineStr">
        <is>
          <t>풀×2</t>
        </is>
      </c>
      <c r="C32" s="17" t="inlineStr">
        <is>
          <t>숏폼2</t>
        </is>
      </c>
      <c r="D32" s="15" t="n">
        <v>8000000</v>
      </c>
      <c r="E32" s="15" t="n">
        <v>500000</v>
      </c>
      <c r="F32" s="15" t="n">
        <v>7500000</v>
      </c>
      <c r="G32" s="18" t="n">
        <v>0.0625</v>
      </c>
    </row>
    <row r="33">
      <c r="A33" s="4" t="inlineStr">
        <is>
          <t>B1</t>
        </is>
      </c>
      <c r="B33" s="4" t="inlineStr">
        <is>
          <t>풀×2</t>
        </is>
      </c>
      <c r="C33" s="4" t="inlineStr">
        <is>
          <t>숏폼3</t>
        </is>
      </c>
      <c r="D33" s="6" t="n">
        <v>8300000</v>
      </c>
      <c r="E33" s="6" t="n">
        <v>550000</v>
      </c>
      <c r="F33" s="6" t="n">
        <v>7750000</v>
      </c>
      <c r="G33" s="16" t="n">
        <v>0.06626506024096386</v>
      </c>
    </row>
    <row r="34">
      <c r="A34" s="4" t="inlineStr">
        <is>
          <t>C1</t>
        </is>
      </c>
      <c r="B34" s="4" t="inlineStr">
        <is>
          <t>축소×3</t>
        </is>
      </c>
      <c r="C34" s="4" t="inlineStr">
        <is>
          <t>숏폼2</t>
        </is>
      </c>
      <c r="D34" s="6" t="n">
        <v>9050000</v>
      </c>
      <c r="E34" s="6" t="n">
        <v>700000</v>
      </c>
      <c r="F34" s="6" t="n">
        <v>8350000</v>
      </c>
      <c r="G34" s="16" t="n">
        <v>0.07734806629834254</v>
      </c>
    </row>
    <row r="35">
      <c r="A35" s="4" t="inlineStr">
        <is>
          <t>C2</t>
        </is>
      </c>
      <c r="B35" s="4" t="inlineStr">
        <is>
          <t>축소×3</t>
        </is>
      </c>
      <c r="C35" s="4" t="inlineStr">
        <is>
          <t>숏폼3</t>
        </is>
      </c>
      <c r="D35" s="6" t="n">
        <v>9350000</v>
      </c>
      <c r="E35" s="6" t="n">
        <v>750000</v>
      </c>
      <c r="F35" s="6" t="n">
        <v>8600000</v>
      </c>
      <c r="G35" s="16" t="n">
        <v>0.08021390374331551</v>
      </c>
    </row>
    <row r="36">
      <c r="A36" s="4" t="inlineStr">
        <is>
          <t>C3</t>
        </is>
      </c>
      <c r="B36" s="4" t="inlineStr">
        <is>
          <t>풀×2+축소×1</t>
        </is>
      </c>
      <c r="C36" s="4" t="inlineStr">
        <is>
          <t>숏폼2</t>
        </is>
      </c>
      <c r="D36" s="6" t="n">
        <v>10150000</v>
      </c>
      <c r="E36" s="6" t="n">
        <v>850000</v>
      </c>
      <c r="F36" s="6" t="n">
        <v>9300000</v>
      </c>
      <c r="G36" s="16" t="n">
        <v>0.08374384236453201</v>
      </c>
    </row>
    <row r="37">
      <c r="A37" s="4" t="inlineStr">
        <is>
          <t>C4</t>
        </is>
      </c>
      <c r="B37" s="4" t="inlineStr">
        <is>
          <t>풀×2+축소×1</t>
        </is>
      </c>
      <c r="C37" s="4" t="inlineStr">
        <is>
          <t>숏폼3</t>
        </is>
      </c>
      <c r="D37" s="6" t="n">
        <v>10450000</v>
      </c>
      <c r="E37" s="6" t="n">
        <v>900000</v>
      </c>
      <c r="F37" s="6" t="n">
        <v>9550000</v>
      </c>
      <c r="G37" s="16" t="n">
        <v>0.0861244019138756</v>
      </c>
    </row>
    <row r="38">
      <c r="A38" s="4" t="inlineStr">
        <is>
          <t>C5</t>
        </is>
      </c>
      <c r="B38" s="4" t="inlineStr">
        <is>
          <t>풀×3</t>
        </is>
      </c>
      <c r="C38" s="4" t="inlineStr">
        <is>
          <t>숏폼2</t>
        </is>
      </c>
      <c r="D38" s="6" t="n">
        <v>10700000</v>
      </c>
      <c r="E38" s="6" t="n">
        <v>950000</v>
      </c>
      <c r="F38" s="6" t="n">
        <v>9750000</v>
      </c>
      <c r="G38" s="16" t="n">
        <v>0.08878504672897196</v>
      </c>
    </row>
    <row r="39">
      <c r="A39" s="4" t="inlineStr">
        <is>
          <t>D1</t>
        </is>
      </c>
      <c r="B39" s="4" t="inlineStr">
        <is>
          <t>축소×4</t>
        </is>
      </c>
      <c r="C39" s="4" t="inlineStr">
        <is>
          <t>숏폼2</t>
        </is>
      </c>
      <c r="D39" s="6" t="n">
        <v>11200000</v>
      </c>
      <c r="E39" s="6" t="n">
        <v>1000000</v>
      </c>
      <c r="F39" s="6" t="n">
        <v>10200000</v>
      </c>
      <c r="G39" s="16" t="n">
        <v>0.08928571428571429</v>
      </c>
    </row>
    <row r="40">
      <c r="A40" s="4" t="inlineStr">
        <is>
          <t>D2</t>
        </is>
      </c>
      <c r="B40" s="4" t="inlineStr">
        <is>
          <t>축소×4</t>
        </is>
      </c>
      <c r="C40" s="4" t="inlineStr">
        <is>
          <t>숏폼3</t>
        </is>
      </c>
      <c r="D40" s="6" t="n">
        <v>11500000</v>
      </c>
      <c r="E40" s="6" t="n">
        <v>1050000</v>
      </c>
      <c r="F40" s="6" t="n">
        <v>10450000</v>
      </c>
      <c r="G40" s="16" t="n">
        <v>0.09130434782608696</v>
      </c>
    </row>
    <row r="41">
      <c r="A41" s="4" t="inlineStr">
        <is>
          <t>D3</t>
        </is>
      </c>
      <c r="B41" s="4" t="inlineStr">
        <is>
          <t>풀×2+축소×2</t>
        </is>
      </c>
      <c r="C41" s="4" t="inlineStr">
        <is>
          <t>숏폼2</t>
        </is>
      </c>
      <c r="D41" s="6" t="n">
        <v>12300000</v>
      </c>
      <c r="E41" s="6" t="n">
        <v>1150000</v>
      </c>
      <c r="F41" s="6" t="n">
        <v>11150000</v>
      </c>
      <c r="G41" s="16" t="n">
        <v>0.09349593495934959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2026-02-07T00:39:43Z</dcterms:created>
  <dcterms:modified xmlns:dcterms="http://purl.org/dc/terms/" xmlns:xsi="http://www.w3.org/2001/XMLSchema-instance" xsi:type="dcterms:W3CDTF">2026-02-07T14:16:21Z</dcterms:modified>
</cp:coreProperties>
</file>