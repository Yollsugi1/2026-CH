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26년상반기)예산 개요 (ver.2)" sheetId="1" state="visible" r:id="rId3"/>
    <sheet name="개별 단가" sheetId="2" state="visible" r:id="rId4"/>
    <sheet name="시나리오" sheetId="3" state="visible" r:id="rId5"/>
    <sheet name="26.02" sheetId="4" state="visible" r:id="rId6"/>
    <sheet name="26.01" sheetId="5" state="visible" r:id="rId7"/>
    <sheet name="25.12" sheetId="6" state="visible" r:id="rId8"/>
    <sheet name="25.11" sheetId="7" state="visible" r:id="rId9"/>
    <sheet name="25.10" sheetId="8" state="visible" r:id="rId10"/>
    <sheet name="25.0809" sheetId="9" state="visible" r:id="rId11"/>
    <sheet name="(archive) Fin.(26년상반기)예산안" sheetId="10" state="hidden" r:id="rId12"/>
    <sheet name="(archive)★단가표" sheetId="11" state="hidden" r:id="rId13"/>
    <sheet name="(점검본)25.0809" sheetId="12" state="hidden" r:id="rId14"/>
    <sheet name="(CH 재조정)25.0809" sheetId="13" state="hidden" r:id="rId15"/>
    <sheet name="1차작성 (26년상반기)예산안" sheetId="14" state="hidden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<sst xmlns="http://schemas.openxmlformats.org/spreadsheetml/2006/main" count="955" uniqueCount="339">
  <si>
    <r>
      <rPr>
        <b val="true"/>
        <sz val="13"/>
        <color theme="1"/>
        <rFont val="Arial"/>
        <family val="0"/>
        <charset val="1"/>
      </rPr>
      <t xml:space="preserve">■ 26</t>
    </r>
    <r>
      <rPr>
        <b val="true"/>
        <sz val="13"/>
        <color theme="1"/>
        <rFont val="DejaVu Sans"/>
        <family val="2"/>
      </rPr>
      <t xml:space="preserve">년도 운영예산 업데이트 </t>
    </r>
    <r>
      <rPr>
        <b val="true"/>
        <sz val="13"/>
        <color theme="1"/>
        <rFont val="Arial"/>
        <family val="0"/>
        <charset val="1"/>
      </rPr>
      <t xml:space="preserve">_ (20260206)</t>
    </r>
  </si>
  <si>
    <t xml:space="preserve">현재 [(26년상반기)예산 개요 (ver.2)] / [개별 단가] / [시나리오] 3가지 시트로 목적별 구분하여 관련 작성하였으며 
참고차 노션 페이지에 각각에 대해 부가적인 설명을 포함해 문서로도 공유드렸으니 참고부탁드립니다. -- (링크)</t>
  </si>
  <si>
    <t xml:space="preserve">구분</t>
  </si>
  <si>
    <t xml:space="preserve">콘텐츠</t>
  </si>
  <si>
    <t xml:space="preserve">상세</t>
  </si>
  <si>
    <t xml:space="preserve">수량</t>
  </si>
  <si>
    <t xml:space="preserve">단위</t>
  </si>
  <si>
    <t xml:space="preserve">횟수</t>
  </si>
  <si>
    <t xml:space="preserve">단가</t>
  </si>
  <si>
    <t xml:space="preserve">금액</t>
  </si>
  <si>
    <t xml:space="preserve">비고</t>
  </si>
  <si>
    <r>
      <rPr>
        <sz val="11"/>
        <color theme="1"/>
        <rFont val="DejaVu Sans"/>
        <family val="2"/>
      </rPr>
      <t xml:space="preserve">최초 </t>
    </r>
    <r>
      <rPr>
        <sz val="11"/>
        <color theme="1"/>
        <rFont val="Arial"/>
        <family val="0"/>
        <charset val="1"/>
      </rPr>
      <t xml:space="preserve">
1</t>
    </r>
    <r>
      <rPr>
        <sz val="11"/>
        <color theme="1"/>
        <rFont val="DejaVu Sans"/>
        <family val="2"/>
      </rPr>
      <t xml:space="preserve">회 청구</t>
    </r>
  </si>
  <si>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월 사전세팅</t>
    </r>
  </si>
  <si>
    <t xml:space="preserve">사전기획비</t>
  </si>
  <si>
    <t xml:space="preserve">Series</t>
  </si>
  <si>
    <t xml:space="preserve">회</t>
  </si>
  <si>
    <t xml:space="preserve">디자인 제작비</t>
  </si>
  <si>
    <t xml:space="preserve">건</t>
  </si>
  <si>
    <r>
      <rPr>
        <sz val="11"/>
        <color rgb="FFFF0000"/>
        <rFont val="Noto Sans"/>
        <family val="0"/>
        <charset val="1"/>
      </rPr>
      <t xml:space="preserve">*1</t>
    </r>
    <r>
      <rPr>
        <sz val="11"/>
        <color rgb="FFFF0000"/>
        <rFont val="DejaVu Sans"/>
        <family val="2"/>
      </rPr>
      <t xml:space="preserve">월 사전세팅 단계에서</t>
    </r>
    <r>
      <rPr>
        <sz val="11"/>
        <color rgb="FFFF0000"/>
        <rFont val="Noto Sans"/>
        <family val="0"/>
        <charset val="1"/>
      </rPr>
      <t xml:space="preserve">, </t>
    </r>
    <r>
      <rPr>
        <sz val="11"/>
        <color rgb="FFFF0000"/>
        <rFont val="DejaVu Sans"/>
        <family val="2"/>
      </rPr>
      <t xml:space="preserve">최초 </t>
    </r>
    <r>
      <rPr>
        <sz val="11"/>
        <color rgb="FFFF0000"/>
        <rFont val="Noto Sans"/>
        <family val="0"/>
        <charset val="1"/>
      </rPr>
      <t xml:space="preserve">1</t>
    </r>
    <r>
      <rPr>
        <sz val="11"/>
        <color rgb="FFFF0000"/>
        <rFont val="DejaVu Sans"/>
        <family val="2"/>
      </rPr>
      <t xml:space="preserve">회만 청구</t>
    </r>
  </si>
  <si>
    <t xml:space="preserve">SUM</t>
  </si>
  <si>
    <r>
      <rPr>
        <b val="true"/>
        <sz val="11"/>
        <color rgb="FFFFFFFF"/>
        <rFont val="DejaVu Sans"/>
        <family val="2"/>
      </rPr>
      <t xml:space="preserve">정기 콘텐츠 </t>
    </r>
    <r>
      <rPr>
        <b val="true"/>
        <sz val="11"/>
        <color rgb="FFFFFFFF"/>
        <rFont val="Noto Sans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월 기준</t>
    </r>
  </si>
  <si>
    <r>
      <rPr>
        <sz val="11"/>
        <color rgb="FF000000"/>
        <rFont val="Noto Sans"/>
        <family val="0"/>
        <charset val="1"/>
      </rPr>
      <t xml:space="preserve">-. </t>
    </r>
    <r>
      <rPr>
        <sz val="11"/>
        <color rgb="FF000000"/>
        <rFont val="DejaVu Sans"/>
        <family val="2"/>
      </rPr>
      <t xml:space="preserve">비정기 콘텐츠의 경우</t>
    </r>
    <r>
      <rPr>
        <sz val="11"/>
        <color rgb="FF000000"/>
        <rFont val="Noto Sans"/>
        <family val="0"/>
        <charset val="1"/>
      </rPr>
      <t xml:space="preserve">, </t>
    </r>
    <r>
      <rPr>
        <sz val="11"/>
        <color rgb="FF000000"/>
        <rFont val="DejaVu Sans"/>
        <family val="2"/>
      </rPr>
      <t xml:space="preserve">월 </t>
    </r>
    <r>
      <rPr>
        <sz val="11"/>
        <color rgb="FF000000"/>
        <rFont val="Noto Sans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건을 기본으로 비용 산정 </t>
    </r>
    <r>
      <rPr>
        <sz val="11"/>
        <color rgb="FF000000"/>
        <rFont val="Noto Sans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해당 월 미진행시 제작수량 이월</t>
    </r>
    <r>
      <rPr>
        <sz val="11"/>
        <color rgb="FF000000"/>
        <rFont val="Noto Sans"/>
        <family val="0"/>
        <charset val="1"/>
      </rPr>
      <t xml:space="preserve">)
-. </t>
    </r>
    <r>
      <rPr>
        <sz val="11"/>
        <color rgb="FF000000"/>
        <rFont val="DejaVu Sans"/>
        <family val="2"/>
      </rPr>
      <t xml:space="preserve">순당포착</t>
    </r>
    <r>
      <rPr>
        <sz val="11"/>
        <color rgb="FF000000"/>
        <rFont val="Noto Sans"/>
        <family val="0"/>
        <charset val="1"/>
      </rPr>
      <t xml:space="preserve">/1</t>
    </r>
    <r>
      <rPr>
        <sz val="11"/>
        <color rgb="FF000000"/>
        <rFont val="DejaVu Sans"/>
        <family val="2"/>
      </rPr>
      <t xml:space="preserve">막</t>
    </r>
    <r>
      <rPr>
        <sz val="11"/>
        <color rgb="FF000000"/>
        <rFont val="Noto Sans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장에 대한 세부 단가는 </t>
    </r>
    <r>
      <rPr>
        <sz val="11"/>
        <color rgb="FF000000"/>
        <rFont val="Noto Sans"/>
        <family val="0"/>
        <charset val="1"/>
      </rPr>
      <t xml:space="preserve">[</t>
    </r>
    <r>
      <rPr>
        <sz val="11"/>
        <color rgb="FF000000"/>
        <rFont val="DejaVu Sans"/>
        <family val="2"/>
      </rPr>
      <t xml:space="preserve">개별 단가</t>
    </r>
    <r>
      <rPr>
        <sz val="11"/>
        <color rgb="FF000000"/>
        <rFont val="Noto Sans"/>
        <family val="0"/>
        <charset val="1"/>
      </rPr>
      <t xml:space="preserve">] </t>
    </r>
    <r>
      <rPr>
        <sz val="11"/>
        <color rgb="FF000000"/>
        <rFont val="DejaVu Sans"/>
        <family val="2"/>
      </rPr>
      <t xml:space="preserve">시트 참조</t>
    </r>
  </si>
  <si>
    <t xml:space="preserve">인력</t>
  </si>
  <si>
    <t xml:space="preserve">시간</t>
  </si>
  <si>
    <r>
      <rPr>
        <b val="true"/>
        <sz val="11"/>
        <color rgb="FF000000"/>
        <rFont val="Noto Sans"/>
        <family val="0"/>
        <charset val="1"/>
      </rPr>
      <t xml:space="preserve">1</t>
    </r>
    <r>
      <rPr>
        <b val="true"/>
        <sz val="11"/>
        <color rgb="FF000000"/>
        <rFont val="DejaVu Sans"/>
        <family val="2"/>
      </rPr>
      <t xml:space="preserve">인</t>
    </r>
    <r>
      <rPr>
        <b val="true"/>
        <sz val="11"/>
        <color rgb="FF000000"/>
        <rFont val="Noto Sans"/>
        <family val="0"/>
        <charset val="1"/>
      </rPr>
      <t xml:space="preserve">/1h (*</t>
    </r>
    <r>
      <rPr>
        <b val="true"/>
        <sz val="11"/>
        <color rgb="FF000000"/>
        <rFont val="DejaVu Sans"/>
        <family val="2"/>
      </rPr>
      <t xml:space="preserve">고정비</t>
    </r>
    <r>
      <rPr>
        <b val="true"/>
        <sz val="11"/>
        <color rgb="FF000000"/>
        <rFont val="Noto Sans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</si>
  <si>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정기</t>
    </r>
    <r>
      <rPr>
        <sz val="11"/>
        <color theme="1"/>
        <rFont val="Noto Sans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콘텐츠</t>
    </r>
  </si>
  <si>
    <r>
      <rPr>
        <sz val="11"/>
        <color theme="1"/>
        <rFont val="DejaVu Sans"/>
        <family val="2"/>
      </rPr>
      <t xml:space="preserve">고객인터뷰형 </t>
    </r>
    <r>
      <rPr>
        <sz val="11"/>
        <color theme="1"/>
        <rFont val="Noto Sans"/>
        <family val="0"/>
        <charset val="1"/>
      </rPr>
      <t xml:space="preserve">
(*</t>
    </r>
    <r>
      <rPr>
        <sz val="11"/>
        <color theme="1"/>
        <rFont val="DejaVu Sans"/>
        <family val="2"/>
      </rPr>
      <t xml:space="preserve">순당포착</t>
    </r>
    <r>
      <rPr>
        <sz val="11"/>
        <color theme="1"/>
        <rFont val="Noto Sans"/>
        <family val="0"/>
        <charset val="1"/>
      </rPr>
      <t xml:space="preserve">)
[</t>
    </r>
    <r>
      <rPr>
        <sz val="11"/>
        <color theme="1"/>
        <rFont val="DejaVu Sans"/>
        <family val="2"/>
      </rPr>
      <t xml:space="preserve">구성</t>
    </r>
    <r>
      <rPr>
        <sz val="11"/>
        <color theme="1"/>
        <rFont val="Noto Sans"/>
        <family val="0"/>
        <charset val="1"/>
      </rPr>
      <t xml:space="preserve">]
</t>
    </r>
    <r>
      <rPr>
        <sz val="11"/>
        <color theme="1"/>
        <rFont val="DejaVu Sans"/>
        <family val="2"/>
      </rPr>
      <t xml:space="preserve">캐러셀</t>
    </r>
    <r>
      <rPr>
        <sz val="11"/>
        <color theme="1"/>
        <rFont val="Noto Sans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Noto Sans"/>
        <family val="0"/>
        <charset val="1"/>
      </rPr>
      <t xml:space="preserve">2</t>
    </r>
  </si>
  <si>
    <t xml:space="preserve">인터뷰 및 해당 촬영 기획</t>
  </si>
  <si>
    <t xml:space="preserve">명</t>
  </si>
  <si>
    <t xml:space="preserve">h</t>
  </si>
  <si>
    <r>
      <rPr>
        <sz val="11"/>
        <color theme="1"/>
        <rFont val="DejaVu Sans"/>
        <family val="2"/>
      </rPr>
      <t xml:space="preserve">인물 기획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질문지 구성</t>
    </r>
  </si>
  <si>
    <t xml:space="preserve">답사</t>
  </si>
  <si>
    <r>
      <rPr>
        <sz val="11"/>
        <color theme="1"/>
        <rFont val="DejaVu Sans"/>
        <family val="2"/>
      </rPr>
      <t xml:space="preserve">출연자 섭외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장소 헌팅</t>
    </r>
  </si>
  <si>
    <t xml:space="preserve">촬영</t>
  </si>
  <si>
    <r>
      <rPr>
        <sz val="11"/>
        <color theme="1"/>
        <rFont val="DejaVu Sans"/>
        <family val="2"/>
      </rPr>
      <t xml:space="preserve">스틸컷</t>
    </r>
    <r>
      <rPr>
        <sz val="11"/>
        <color theme="1"/>
        <rFont val="Calibri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영상 동시 촬영 </t>
    </r>
    <r>
      <rPr>
        <sz val="11"/>
        <color theme="1"/>
        <rFont val="Calibri"/>
        <family val="0"/>
        <charset val="1"/>
      </rPr>
      <t xml:space="preserve">/ 2</t>
    </r>
    <r>
      <rPr>
        <sz val="11"/>
        <color theme="1"/>
        <rFont val="DejaVu Sans"/>
        <family val="2"/>
      </rPr>
      <t xml:space="preserve">인 투입</t>
    </r>
    <r>
      <rPr>
        <sz val="11"/>
        <color theme="1"/>
        <rFont val="Calibri"/>
        <family val="0"/>
        <charset val="1"/>
      </rPr>
      <t xml:space="preserve">
(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Calibri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사진</t>
    </r>
    <r>
      <rPr>
        <sz val="11"/>
        <color theme="1"/>
        <rFont val="Calibri"/>
        <family val="0"/>
        <charset val="1"/>
      </rPr>
      <t xml:space="preserve">1), 
  • 6h </t>
    </r>
    <r>
      <rPr>
        <sz val="11"/>
        <color theme="1"/>
        <rFont val="DejaVu Sans"/>
        <family val="2"/>
      </rPr>
      <t xml:space="preserve">정도의 시간을 최소로 요함</t>
    </r>
    <r>
      <rPr>
        <sz val="11"/>
        <color theme="1"/>
        <rFont val="Calibri"/>
        <family val="0"/>
        <charset val="1"/>
      </rPr>
      <t xml:space="preserve">
(</t>
    </r>
    <r>
      <rPr>
        <sz val="11"/>
        <color theme="1"/>
        <rFont val="DejaVu Sans"/>
        <family val="2"/>
      </rPr>
      <t xml:space="preserve">준비 </t>
    </r>
    <r>
      <rPr>
        <sz val="11"/>
        <color theme="1"/>
        <rFont val="Calibri"/>
        <family val="0"/>
        <charset val="1"/>
      </rPr>
      <t xml:space="preserve">1h + </t>
    </r>
    <r>
      <rPr>
        <sz val="11"/>
        <color theme="1"/>
        <rFont val="DejaVu Sans"/>
        <family val="2"/>
      </rPr>
      <t xml:space="preserve">본촬영</t>
    </r>
    <r>
      <rPr>
        <sz val="11"/>
        <color theme="1"/>
        <rFont val="Calibri"/>
        <family val="0"/>
        <charset val="1"/>
      </rPr>
      <t xml:space="preserve">4h+ </t>
    </r>
    <r>
      <rPr>
        <sz val="11"/>
        <color theme="1"/>
        <rFont val="DejaVu Sans"/>
        <family val="2"/>
      </rPr>
      <t xml:space="preserve">인서트 </t>
    </r>
    <r>
      <rPr>
        <sz val="11"/>
        <color theme="1"/>
        <rFont val="Calibri"/>
        <family val="0"/>
        <charset val="1"/>
      </rPr>
      <t xml:space="preserve">1h)</t>
    </r>
  </si>
  <si>
    <t xml:space="preserve">사진 보정</t>
  </si>
  <si>
    <r>
      <rPr>
        <sz val="11"/>
        <color theme="1"/>
        <rFont val="DejaVu Sans"/>
        <family val="2"/>
      </rPr>
      <t xml:space="preserve">인물 당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화보이미지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DejaVu Sans"/>
        <family val="2"/>
      </rPr>
      <t xml:space="preserve">장 </t>
    </r>
    <r>
      <rPr>
        <sz val="11"/>
        <color theme="1"/>
        <rFont val="Calibri"/>
        <family val="0"/>
        <charset val="1"/>
      </rPr>
      <t xml:space="preserve">(*</t>
    </r>
    <r>
      <rPr>
        <sz val="11"/>
        <color theme="1"/>
        <rFont val="DejaVu Sans"/>
        <family val="2"/>
      </rPr>
      <t xml:space="preserve">이미지 추가 보정 시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비용 별도 협의</t>
    </r>
    <r>
      <rPr>
        <sz val="11"/>
        <color theme="1"/>
        <rFont val="Calibri"/>
        <family val="0"/>
        <charset val="1"/>
      </rPr>
      <t xml:space="preserve">) 
*</t>
    </r>
    <r>
      <rPr>
        <sz val="11"/>
        <color theme="1"/>
        <rFont val="DejaVu Sans"/>
        <family val="2"/>
      </rPr>
      <t xml:space="preserve">기존에 추가 보정에 대한 비용 고려했으나</t>
    </r>
    <r>
      <rPr>
        <sz val="11"/>
        <color theme="1"/>
        <rFont val="Calibri"/>
        <family val="0"/>
        <charset val="1"/>
      </rPr>
      <t xml:space="preserve">, 
 </t>
    </r>
    <r>
      <rPr>
        <sz val="11"/>
        <color theme="1"/>
        <rFont val="DejaVu Sans"/>
        <family val="2"/>
      </rPr>
      <t xml:space="preserve">첫 게시물 기준 이미지 장수 관계없이 보정하는 방향</t>
    </r>
    <r>
      <rPr>
        <sz val="11"/>
        <color theme="1"/>
        <rFont val="Calibri"/>
        <family val="0"/>
        <charset val="1"/>
      </rPr>
      <t xml:space="preserve">
※ </t>
    </r>
    <r>
      <rPr>
        <sz val="11"/>
        <color theme="1"/>
        <rFont val="DejaVu Sans"/>
        <family val="2"/>
      </rPr>
      <t xml:space="preserve">피드 및 포스터용 화보 사진 컷 보정</t>
    </r>
  </si>
  <si>
    <r>
      <rPr>
        <sz val="11"/>
        <color theme="1"/>
        <rFont val="DejaVu Sans"/>
        <family val="2"/>
      </rPr>
      <t xml:space="preserve">캐러셀 디자인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</si>
  <si>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DejaVu Sans"/>
        <family val="2"/>
      </rPr>
      <t xml:space="preserve">인스타그램 피드 게시물 </t>
    </r>
    <r>
      <rPr>
        <sz val="11"/>
        <color theme="1"/>
        <rFont val="Calibri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포스터 디자인</t>
    </r>
  </si>
  <si>
    <t xml:space="preserve">영상 기획</t>
  </si>
  <si>
    <r>
      <rPr>
        <sz val="11"/>
        <color theme="1"/>
        <rFont val="Calibri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금일 논의를 위한 맥락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향후 삭제</t>
    </r>
    <r>
      <rPr>
        <sz val="11"/>
        <color theme="1"/>
        <rFont val="Calibri"/>
        <family val="0"/>
        <charset val="1"/>
      </rPr>
      <t xml:space="preserve">)
- </t>
    </r>
    <r>
      <rPr>
        <sz val="11"/>
        <color theme="1"/>
        <rFont val="DejaVu Sans"/>
        <family val="2"/>
      </rPr>
      <t xml:space="preserve">숏폼 기획을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Calibri"/>
        <family val="0"/>
        <charset val="1"/>
      </rPr>
      <t xml:space="preserve">*2h + 1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Calibri"/>
        <family val="0"/>
        <charset val="1"/>
      </rPr>
      <t xml:space="preserve">*3h</t>
    </r>
    <r>
      <rPr>
        <sz val="11"/>
        <color theme="1"/>
        <rFont val="DejaVu Sans"/>
        <family val="2"/>
      </rPr>
      <t xml:space="preserve">로 나누어두었는데</t>
    </r>
    <r>
      <rPr>
        <sz val="11"/>
        <color theme="1"/>
        <rFont val="Calibri"/>
        <family val="0"/>
        <charset val="1"/>
      </rPr>
      <t xml:space="preserve">, 
</t>
    </r>
    <r>
      <rPr>
        <sz val="11"/>
        <color theme="1"/>
        <rFont val="DejaVu Sans"/>
        <family val="2"/>
      </rPr>
      <t xml:space="preserve">앞선 </t>
    </r>
    <r>
      <rPr>
        <sz val="11"/>
        <color theme="1"/>
        <rFont val="Calibri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인터뷰 및 해당촬영 기획</t>
    </r>
    <r>
      <rPr>
        <sz val="11"/>
        <color theme="1"/>
        <rFont val="Calibri"/>
        <family val="0"/>
        <charset val="1"/>
      </rPr>
      <t xml:space="preserve">]</t>
    </r>
    <r>
      <rPr>
        <sz val="11"/>
        <color theme="1"/>
        <rFont val="DejaVu Sans"/>
        <family val="2"/>
      </rPr>
      <t xml:space="preserve">에서는 업장에 대한 파악이 되기 전 업장 리서치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인터뷰 기획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답사를 다녀온 뒤 촬영에 대한 기획으로 사전 기획에 해당 
이후 </t>
    </r>
    <r>
      <rPr>
        <sz val="11"/>
        <color theme="1"/>
        <rFont val="Calibri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숏폼 기획</t>
    </r>
    <r>
      <rPr>
        <sz val="11"/>
        <color theme="1"/>
        <rFont val="Calibri"/>
        <family val="0"/>
        <charset val="1"/>
      </rPr>
      <t xml:space="preserve">]</t>
    </r>
    <r>
      <rPr>
        <sz val="11"/>
        <color theme="1"/>
        <rFont val="DejaVu Sans"/>
        <family val="2"/>
      </rPr>
      <t xml:space="preserve">은 촬영본을 기반으로 영상을 어떻게 구성할지 </t>
    </r>
    <r>
      <rPr>
        <sz val="11"/>
        <color theme="1"/>
        <rFont val="Calibri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업장 캐릭터별 톤앤매너에 대한 기획을 팀 단위로 진행한 뒤 </t>
    </r>
    <r>
      <rPr>
        <sz val="11"/>
        <color theme="1"/>
        <rFont val="Calibri"/>
        <family val="0"/>
        <charset val="1"/>
      </rPr>
      <t xml:space="preserve">(3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Calibri"/>
        <family val="0"/>
        <charset val="1"/>
      </rPr>
      <t xml:space="preserve">*2h) 
</t>
    </r>
    <r>
      <rPr>
        <sz val="11"/>
        <color theme="1"/>
        <rFont val="DejaVu Sans"/>
        <family val="2"/>
      </rPr>
      <t xml:space="preserve">우석님이 세부적인 영상 기획을 진행합니다</t>
    </r>
    <r>
      <rPr>
        <sz val="11"/>
        <color theme="1"/>
        <rFont val="Calibri"/>
        <family val="0"/>
        <charset val="1"/>
      </rPr>
      <t xml:space="preserve">. (</t>
    </r>
    <r>
      <rPr>
        <sz val="11"/>
        <color theme="1"/>
        <rFont val="DejaVu Sans"/>
        <family val="2"/>
      </rPr>
      <t xml:space="preserve">모든 상황을 촬영 전 컨트롤할 수 있기보다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촬영 후 파악되는 지점이 많아 기획을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차례로 나누어 진행하고 있으며</t>
    </r>
    <r>
      <rPr>
        <sz val="11"/>
        <color theme="1"/>
        <rFont val="Calibri"/>
        <family val="0"/>
        <charset val="1"/>
      </rPr>
      <t xml:space="preserve">)
 - </t>
    </r>
    <r>
      <rPr>
        <sz val="11"/>
        <color theme="1"/>
        <rFont val="DejaVu Sans"/>
        <family val="2"/>
      </rPr>
      <t xml:space="preserve">산출물의 개수가 조정됨에 따라 팀 단위의 영상 기획은 개수와 관련없이 고정적으로 발생하고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우석님이 진행하는 세부 영상기획은 각각의 산출물에 귀속된다고 볼 수 있습니다</t>
    </r>
    <r>
      <rPr>
        <sz val="11"/>
        <color theme="1"/>
        <rFont val="Calibri"/>
        <family val="0"/>
        <charset val="1"/>
      </rPr>
      <t xml:space="preserve">.
</t>
    </r>
    <r>
      <rPr>
        <sz val="11"/>
        <color theme="1"/>
        <rFont val="DejaVu Sans"/>
        <family val="2"/>
      </rPr>
      <t xml:space="preserve">비용적인 측면을 고려할 때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개수에 따른 구분을 고려한다면 팀 단위의 숏폼기획을 별도로 구분한 뒤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개별 숏폼의 기획</t>
    </r>
    <r>
      <rPr>
        <sz val="11"/>
        <color theme="1"/>
        <rFont val="Calibri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편집을 편집으로만 구분하는 것이 좋겠습니다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</si>
  <si>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Noto Sans"/>
        <family val="0"/>
        <charset val="1"/>
      </rPr>
      <t xml:space="preserve">#1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</si>
  <si>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DejaVu Sans"/>
        <family val="2"/>
      </rPr>
      <t xml:space="preserve">숏폼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건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인터뷰 </t>
    </r>
    <r>
      <rPr>
        <sz val="11"/>
        <color theme="1"/>
        <rFont val="Calibri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스케치 형태</t>
    </r>
    <r>
      <rPr>
        <sz val="11"/>
        <color theme="1"/>
        <rFont val="Calibri"/>
        <family val="0"/>
        <charset val="1"/>
      </rPr>
      <t xml:space="preserve">)
 &gt; </t>
    </r>
    <r>
      <rPr>
        <sz val="11"/>
        <color theme="1"/>
        <rFont val="DejaVu Sans"/>
        <family val="2"/>
      </rPr>
      <t xml:space="preserve">세부 숏폼 기획 </t>
    </r>
    <r>
      <rPr>
        <sz val="11"/>
        <color theme="1"/>
        <rFont val="Calibri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편집</t>
    </r>
    <r>
      <rPr>
        <sz val="11"/>
        <color theme="1"/>
        <rFont val="Calibri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수정편집 포함</t>
    </r>
    <r>
      <rPr>
        <sz val="11"/>
        <color theme="1"/>
        <rFont val="Calibri"/>
        <family val="0"/>
        <charset val="1"/>
      </rPr>
      <t xml:space="preserve">
※ </t>
    </r>
    <r>
      <rPr>
        <sz val="11"/>
        <color theme="1"/>
        <rFont val="DejaVu Sans"/>
        <family val="2"/>
      </rPr>
      <t xml:space="preserve">투입상세 </t>
    </r>
    <r>
      <rPr>
        <sz val="11"/>
        <color theme="1"/>
        <rFont val="Calibri"/>
        <family val="0"/>
        <charset val="1"/>
      </rPr>
      <t xml:space="preserve">: 1</t>
    </r>
    <r>
      <rPr>
        <sz val="11"/>
        <color theme="1"/>
        <rFont val="DejaVu Sans"/>
        <family val="2"/>
      </rPr>
      <t xml:space="preserve">명 </t>
    </r>
    <r>
      <rPr>
        <sz val="11"/>
        <color theme="1"/>
        <rFont val="Calibri"/>
        <family val="0"/>
        <charset val="1"/>
      </rPr>
      <t xml:space="preserve">3h + 1</t>
    </r>
    <r>
      <rPr>
        <sz val="11"/>
        <color theme="1"/>
        <rFont val="DejaVu Sans"/>
        <family val="2"/>
      </rPr>
      <t xml:space="preserve">명 </t>
    </r>
    <r>
      <rPr>
        <sz val="11"/>
        <color theme="1"/>
        <rFont val="Calibri"/>
        <family val="0"/>
        <charset val="1"/>
      </rPr>
      <t xml:space="preserve">8h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</si>
  <si>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Noto Sans"/>
        <family val="0"/>
        <charset val="1"/>
      </rPr>
      <t xml:space="preserve">#2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편집</t>
    </r>
  </si>
  <si>
    <t xml:space="preserve">순당포착 소계 ①</t>
  </si>
  <si>
    <r>
      <rPr>
        <sz val="10"/>
        <color theme="1"/>
        <rFont val="Calibri"/>
        <family val="0"/>
        <charset val="1"/>
      </rPr>
      <t xml:space="preserve">*</t>
    </r>
    <r>
      <rPr>
        <sz val="10"/>
        <color theme="1"/>
        <rFont val="DejaVu Sans"/>
        <family val="2"/>
      </rPr>
      <t xml:space="preserve">현재 </t>
    </r>
    <r>
      <rPr>
        <sz val="10"/>
        <color theme="1"/>
        <rFont val="Calibri"/>
        <family val="0"/>
        <charset val="1"/>
      </rPr>
      <t xml:space="preserve">'</t>
    </r>
    <r>
      <rPr>
        <sz val="10"/>
        <color theme="1"/>
        <rFont val="DejaVu Sans"/>
        <family val="2"/>
      </rPr>
      <t xml:space="preserve">취하지아니한가</t>
    </r>
    <r>
      <rPr>
        <sz val="10"/>
        <color theme="1"/>
        <rFont val="Calibri"/>
        <family val="0"/>
        <charset val="1"/>
      </rPr>
      <t xml:space="preserve">' </t>
    </r>
    <r>
      <rPr>
        <sz val="10"/>
        <color theme="1"/>
        <rFont val="DejaVu Sans"/>
        <family val="2"/>
      </rPr>
      <t xml:space="preserve">미진행 관계로</t>
    </r>
    <r>
      <rPr>
        <sz val="10"/>
        <color theme="1"/>
        <rFont val="Calibri"/>
        <family val="0"/>
        <charset val="1"/>
      </rPr>
      <t xml:space="preserve">, '</t>
    </r>
    <r>
      <rPr>
        <sz val="10"/>
        <color theme="1"/>
        <rFont val="DejaVu Sans"/>
        <family val="2"/>
      </rPr>
      <t xml:space="preserve">순당포착</t>
    </r>
    <r>
      <rPr>
        <sz val="10"/>
        <color theme="1"/>
        <rFont val="Calibri"/>
        <family val="0"/>
        <charset val="1"/>
      </rPr>
      <t xml:space="preserve">' </t>
    </r>
    <r>
      <rPr>
        <sz val="10"/>
        <color theme="1"/>
        <rFont val="DejaVu Sans"/>
        <family val="2"/>
      </rPr>
      <t xml:space="preserve">시리즈를 월 </t>
    </r>
    <r>
      <rPr>
        <sz val="10"/>
        <color theme="1"/>
        <rFont val="Calibri"/>
        <family val="0"/>
        <charset val="1"/>
      </rPr>
      <t xml:space="preserve">2</t>
    </r>
    <r>
      <rPr>
        <sz val="10"/>
        <color theme="1"/>
        <rFont val="DejaVu Sans"/>
        <family val="2"/>
      </rPr>
      <t xml:space="preserve">세트 기본으로 진행</t>
    </r>
  </si>
  <si>
    <r>
      <rPr>
        <sz val="11"/>
        <color theme="1"/>
        <rFont val="DejaVu Sans"/>
        <family val="2"/>
      </rPr>
      <t xml:space="preserve">순당포착 소계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할인가 적용 </t>
    </r>
    <r>
      <rPr>
        <sz val="11"/>
        <color theme="1"/>
        <rFont val="Noto Sans"/>
        <family val="0"/>
        <charset val="1"/>
      </rPr>
      <t xml:space="preserve">/ 2</t>
    </r>
    <r>
      <rPr>
        <sz val="11"/>
        <color theme="1"/>
        <rFont val="DejaVu Sans"/>
        <family val="2"/>
      </rPr>
      <t xml:space="preserve">건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</si>
  <si>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월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편 기본 제작에 따른 ₩</t>
    </r>
    <r>
      <rPr>
        <sz val="11"/>
        <color theme="1"/>
        <rFont val="Calibri"/>
        <family val="0"/>
        <charset val="1"/>
      </rPr>
      <t xml:space="preserve">50,000 </t>
    </r>
    <r>
      <rPr>
        <sz val="11"/>
        <color theme="1"/>
        <rFont val="DejaVu Sans"/>
        <family val="2"/>
      </rPr>
      <t xml:space="preserve">할인가 적용</t>
    </r>
  </si>
  <si>
    <r>
      <rPr>
        <sz val="11"/>
        <color theme="1"/>
        <rFont val="DejaVu Sans"/>
        <family val="2"/>
      </rPr>
      <t xml:space="preserve">먹방토크형 </t>
    </r>
    <r>
      <rPr>
        <sz val="11"/>
        <color theme="1"/>
        <rFont val="Arial"/>
        <family val="0"/>
        <charset val="1"/>
      </rPr>
      <t xml:space="preserve">
(*</t>
    </r>
    <r>
      <rPr>
        <sz val="11"/>
        <color theme="1"/>
        <rFont val="DejaVu Sans"/>
        <family val="2"/>
      </rPr>
      <t xml:space="preserve">취하지아니한가</t>
    </r>
    <r>
      <rPr>
        <sz val="11"/>
        <color theme="1"/>
        <rFont val="Arial"/>
        <family val="0"/>
        <charset val="1"/>
      </rPr>
      <t xml:space="preserve">)
[</t>
    </r>
    <r>
      <rPr>
        <sz val="11"/>
        <color theme="1"/>
        <rFont val="DejaVu Sans"/>
        <family val="2"/>
      </rPr>
      <t xml:space="preserve">구성</t>
    </r>
    <r>
      <rPr>
        <sz val="11"/>
        <color theme="1"/>
        <rFont val="Arial"/>
        <family val="0"/>
        <charset val="1"/>
      </rPr>
      <t xml:space="preserve">] 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3</t>
    </r>
  </si>
  <si>
    <r>
      <rPr>
        <sz val="11"/>
        <color theme="1"/>
        <rFont val="DejaVu Sans"/>
        <family val="2"/>
      </rPr>
      <t xml:space="preserve">현재 미진행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향후 진행에 따라 시리즈별 비중 재논의</t>
    </r>
  </si>
  <si>
    <t xml:space="preserve">소계 ②</t>
  </si>
  <si>
    <r>
      <rPr>
        <sz val="11"/>
        <color theme="1"/>
        <rFont val="Noto Sans"/>
        <family val="0"/>
        <charset val="1"/>
      </rPr>
      <t xml:space="preserve">TPO</t>
    </r>
    <r>
      <rPr>
        <sz val="11"/>
        <color theme="1"/>
        <rFont val="DejaVu Sans"/>
        <family val="2"/>
      </rPr>
      <t xml:space="preserve">공감형</t>
    </r>
    <r>
      <rPr>
        <sz val="11"/>
        <color theme="1"/>
        <rFont val="Noto Sans"/>
        <family val="0"/>
        <charset val="1"/>
      </rPr>
      <t xml:space="preserve">
(*1</t>
    </r>
    <r>
      <rPr>
        <sz val="11"/>
        <color theme="1"/>
        <rFont val="DejaVu Sans"/>
        <family val="2"/>
      </rPr>
      <t xml:space="preserve">막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장</t>
    </r>
    <r>
      <rPr>
        <sz val="11"/>
        <color theme="1"/>
        <rFont val="Noto Sans"/>
        <family val="0"/>
        <charset val="1"/>
      </rPr>
      <t xml:space="preserve">)
[</t>
    </r>
    <r>
      <rPr>
        <sz val="11"/>
        <color theme="1"/>
        <rFont val="DejaVu Sans"/>
        <family val="2"/>
      </rPr>
      <t xml:space="preserve">구성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Noto Sans"/>
        <family val="0"/>
        <charset val="1"/>
      </rPr>
      <t xml:space="preserve">2</t>
    </r>
  </si>
  <si>
    <t xml:space="preserve">기획</t>
  </si>
  <si>
    <r>
      <rPr>
        <sz val="11"/>
        <color theme="1"/>
        <rFont val="DejaVu Sans"/>
        <family val="2"/>
      </rPr>
      <t xml:space="preserve">데스크리서치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레퍼런스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기획</t>
    </r>
  </si>
  <si>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인 투입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핸드헬드캠</t>
    </r>
    <r>
      <rPr>
        <sz val="11"/>
        <color theme="1"/>
        <rFont val="Calibri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짐벌캠</t>
    </r>
    <r>
      <rPr>
        <sz val="11"/>
        <color theme="1"/>
        <rFont val="Calibri"/>
        <family val="0"/>
        <charset val="1"/>
      </rPr>
      <t xml:space="preserve">1)</t>
    </r>
  </si>
  <si>
    <t xml:space="preserve">촬영 색보정</t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</si>
  <si>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Calibri"/>
        <family val="0"/>
        <charset val="1"/>
      </rPr>
      <t xml:space="preserve">#1 </t>
    </r>
    <r>
      <rPr>
        <sz val="11"/>
        <color theme="1"/>
        <rFont val="DejaVu Sans"/>
        <family val="2"/>
      </rPr>
      <t xml:space="preserve">영상 편집</t>
    </r>
  </si>
  <si>
    <t xml:space="preserve">수정편집 포함</t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</si>
  <si>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Calibri"/>
        <family val="0"/>
        <charset val="1"/>
      </rPr>
      <t xml:space="preserve">#2 </t>
    </r>
    <r>
      <rPr>
        <sz val="11"/>
        <color theme="1"/>
        <rFont val="DejaVu Sans"/>
        <family val="2"/>
      </rPr>
      <t xml:space="preserve">영상 편집</t>
    </r>
  </si>
  <si>
    <r>
      <rPr>
        <sz val="11"/>
        <color theme="1"/>
        <rFont val="DejaVu Sans"/>
        <family val="2"/>
      </rPr>
      <t xml:space="preserve">수정편집 포함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추가 산출물 제작 시 개별단가</t>
    </r>
    <r>
      <rPr>
        <sz val="11"/>
        <color theme="1"/>
        <rFont val="Calibri"/>
        <family val="0"/>
        <charset val="1"/>
      </rPr>
      <t xml:space="preserve">(₩300,000 </t>
    </r>
    <r>
      <rPr>
        <sz val="11"/>
        <color theme="1"/>
        <rFont val="DejaVu Sans"/>
        <family val="2"/>
      </rPr>
      <t xml:space="preserve">적용</t>
    </r>
    <r>
      <rPr>
        <sz val="11"/>
        <color theme="1"/>
        <rFont val="Calibri"/>
        <family val="0"/>
        <charset val="1"/>
      </rPr>
      <t xml:space="preserve">)</t>
    </r>
  </si>
  <si>
    <t xml:space="preserve">소계 ③</t>
  </si>
  <si>
    <t xml:space="preserve">채널 운영 및 콘텐츠 업로드 지원</t>
  </si>
  <si>
    <r>
      <rPr>
        <sz val="11"/>
        <color theme="1"/>
        <rFont val="DejaVu Sans"/>
        <family val="2"/>
      </rPr>
      <t xml:space="preserve">비정기</t>
    </r>
    <r>
      <rPr>
        <sz val="11"/>
        <color theme="1"/>
        <rFont val="Noto Sans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콘텐츠</t>
    </r>
  </si>
  <si>
    <r>
      <rPr>
        <b val="true"/>
        <sz val="11"/>
        <color theme="1"/>
        <rFont val="Noto Sans"/>
        <family val="0"/>
        <charset val="1"/>
      </rPr>
      <t xml:space="preserve">AI </t>
    </r>
    <r>
      <rPr>
        <b val="true"/>
        <sz val="11"/>
        <color theme="1"/>
        <rFont val="DejaVu Sans"/>
        <family val="2"/>
      </rPr>
      <t xml:space="preserve">스터디 및 편집지원</t>
    </r>
  </si>
  <si>
    <t xml:space="preserve">월 단위 요청사항에 따른 업무 지원</t>
  </si>
  <si>
    <r>
      <rPr>
        <sz val="11"/>
        <color theme="1"/>
        <rFont val="DejaVu Sans"/>
        <family val="2"/>
      </rPr>
      <t xml:space="preserve">하단 </t>
    </r>
    <r>
      <rPr>
        <sz val="11"/>
        <color theme="1"/>
        <rFont val="Calibri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비정기 콘텐츠 상세 견적</t>
    </r>
    <r>
      <rPr>
        <sz val="11"/>
        <color theme="1"/>
        <rFont val="Calibri"/>
        <family val="0"/>
        <charset val="1"/>
      </rPr>
      <t xml:space="preserve">] </t>
    </r>
    <r>
      <rPr>
        <sz val="11"/>
        <color theme="1"/>
        <rFont val="DejaVu Sans"/>
        <family val="2"/>
      </rPr>
      <t xml:space="preserve">내 개별 단가에 따름 </t>
    </r>
    <r>
      <rPr>
        <sz val="11"/>
        <color theme="1"/>
        <rFont val="Calibri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해당 크레딧 하에서 업무 수행</t>
    </r>
  </si>
  <si>
    <r>
      <rPr>
        <b val="true"/>
        <sz val="11"/>
        <color theme="1"/>
        <rFont val="DejaVu Sans"/>
        <family val="2"/>
      </rPr>
      <t xml:space="preserve">홍보</t>
    </r>
    <r>
      <rPr>
        <b val="true"/>
        <sz val="11"/>
        <color theme="1"/>
        <rFont val="Noto Sans"/>
        <family val="0"/>
        <charset val="1"/>
      </rPr>
      <t xml:space="preserve">/</t>
    </r>
    <r>
      <rPr>
        <b val="true"/>
        <sz val="11"/>
        <color theme="1"/>
        <rFont val="DejaVu Sans"/>
        <family val="2"/>
      </rPr>
      <t xml:space="preserve">이벤트</t>
    </r>
  </si>
  <si>
    <t xml:space="preserve">소계 ④</t>
  </si>
  <si>
    <r>
      <rPr>
        <sz val="11"/>
        <color theme="1"/>
        <rFont val="DejaVu Sans"/>
        <family val="2"/>
      </rPr>
      <t xml:space="preserve">매달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개의 콘텐츠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캐러셀 형태로</t>
    </r>
    <r>
      <rPr>
        <sz val="11"/>
        <color theme="1"/>
        <rFont val="Calibri"/>
        <family val="0"/>
        <charset val="1"/>
      </rPr>
      <t xml:space="preserve">) </t>
    </r>
  </si>
  <si>
    <t xml:space="preserve">최종 합계</t>
  </si>
  <si>
    <r>
      <rPr>
        <i val="true"/>
        <sz val="10"/>
        <color theme="1"/>
        <rFont val="Calibri"/>
        <family val="0"/>
        <charset val="1"/>
      </rPr>
      <t xml:space="preserve">(</t>
    </r>
    <r>
      <rPr>
        <i val="true"/>
        <sz val="10"/>
        <color theme="1"/>
        <rFont val="DejaVu Sans"/>
        <family val="2"/>
      </rPr>
      <t xml:space="preserve">참고</t>
    </r>
    <r>
      <rPr>
        <i val="true"/>
        <sz val="10"/>
        <color theme="1"/>
        <rFont val="Calibri"/>
        <family val="0"/>
        <charset val="1"/>
      </rPr>
      <t xml:space="preserve">)
</t>
    </r>
    <r>
      <rPr>
        <i val="true"/>
        <sz val="10"/>
        <color theme="1"/>
        <rFont val="DejaVu Sans"/>
        <family val="2"/>
      </rPr>
      <t xml:space="preserve">현재 기존 논의된 계약금액 기준이 ₩</t>
    </r>
    <r>
      <rPr>
        <i val="true"/>
        <sz val="10"/>
        <color theme="1"/>
        <rFont val="Calibri"/>
        <family val="0"/>
        <charset val="1"/>
      </rPr>
      <t xml:space="preserve">7,500,000</t>
    </r>
    <r>
      <rPr>
        <i val="true"/>
        <sz val="10"/>
        <color theme="1"/>
        <rFont val="DejaVu Sans"/>
        <family val="2"/>
      </rPr>
      <t xml:space="preserve">에 세팅되어 있는 점을 감안하여</t>
    </r>
    <r>
      <rPr>
        <i val="true"/>
        <sz val="10"/>
        <color theme="1"/>
        <rFont val="Calibri"/>
        <family val="0"/>
        <charset val="1"/>
      </rPr>
      <t xml:space="preserve">, 
</t>
    </r>
    <r>
      <rPr>
        <i val="true"/>
        <sz val="10"/>
        <color theme="1"/>
        <rFont val="DejaVu Sans"/>
        <family val="2"/>
      </rPr>
      <t xml:space="preserve">정기 콘텐츠 금액 합계로 ₩</t>
    </r>
    <r>
      <rPr>
        <i val="true"/>
        <sz val="10"/>
        <color theme="1"/>
        <rFont val="Calibri"/>
        <family val="0"/>
        <charset val="1"/>
      </rPr>
      <t xml:space="preserve">7,500,000</t>
    </r>
    <r>
      <rPr>
        <i val="true"/>
        <sz val="10"/>
        <color theme="1"/>
        <rFont val="DejaVu Sans"/>
        <family val="2"/>
      </rPr>
      <t xml:space="preserve">을 넘기 전에는 할인가를 정액적으로 설정하여 </t>
    </r>
    <r>
      <rPr>
        <i val="true"/>
        <sz val="10"/>
        <color theme="1"/>
        <rFont val="Calibri"/>
        <family val="0"/>
        <charset val="1"/>
      </rPr>
      <t xml:space="preserve">
</t>
    </r>
    <r>
      <rPr>
        <i val="true"/>
        <sz val="10"/>
        <color theme="1"/>
        <rFont val="DejaVu Sans"/>
        <family val="2"/>
      </rPr>
      <t xml:space="preserve">총액 ₩</t>
    </r>
    <r>
      <rPr>
        <i val="true"/>
        <sz val="10"/>
        <color theme="1"/>
        <rFont val="Calibri"/>
        <family val="0"/>
        <charset val="1"/>
      </rPr>
      <t xml:space="preserve">7,500,000</t>
    </r>
    <r>
      <rPr>
        <i val="true"/>
        <sz val="10"/>
        <color theme="1"/>
        <rFont val="DejaVu Sans"/>
        <family val="2"/>
      </rPr>
      <t xml:space="preserve">으로 맞출 수 있도록 한다</t>
    </r>
    <r>
      <rPr>
        <i val="true"/>
        <sz val="10"/>
        <color theme="1"/>
        <rFont val="Calibri"/>
        <family val="0"/>
        <charset val="1"/>
      </rPr>
      <t xml:space="preserve">.</t>
    </r>
  </si>
  <si>
    <t xml:space="preserve">비정기 콘텐츠 상세 견적</t>
  </si>
  <si>
    <r>
      <rPr>
        <sz val="11"/>
        <color rgb="FF000000"/>
        <rFont val="Noto Sans"/>
        <family val="0"/>
        <charset val="1"/>
      </rPr>
      <t xml:space="preserve">-. </t>
    </r>
    <r>
      <rPr>
        <sz val="11"/>
        <color rgb="FF000000"/>
        <rFont val="DejaVu Sans"/>
        <family val="2"/>
      </rPr>
      <t xml:space="preserve">비정기콘텐츠 </t>
    </r>
    <r>
      <rPr>
        <sz val="11"/>
        <color rgb="FF000000"/>
        <rFont val="Noto Sans"/>
        <family val="0"/>
        <charset val="1"/>
      </rPr>
      <t xml:space="preserve">/ </t>
    </r>
    <r>
      <rPr>
        <sz val="11"/>
        <color rgb="FF000000"/>
        <rFont val="DejaVu Sans"/>
        <family val="2"/>
      </rPr>
      <t xml:space="preserve">초과 분에 대한 비용가이드 </t>
    </r>
  </si>
  <si>
    <r>
      <rPr>
        <b val="true"/>
        <sz val="11"/>
        <color theme="1"/>
        <rFont val="Noto Sans"/>
        <family val="0"/>
        <charset val="1"/>
      </rPr>
      <t xml:space="preserve">AI </t>
    </r>
    <r>
      <rPr>
        <b val="true"/>
        <sz val="11"/>
        <color theme="1"/>
        <rFont val="DejaVu Sans"/>
        <family val="2"/>
      </rPr>
      <t xml:space="preserve">스터디</t>
    </r>
  </si>
  <si>
    <r>
      <rPr>
        <sz val="11"/>
        <color theme="1"/>
        <rFont val="DejaVu Sans"/>
        <family val="2"/>
      </rPr>
      <t xml:space="preserve">기획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프롬프트 지원</t>
    </r>
  </si>
  <si>
    <r>
      <rPr>
        <sz val="11"/>
        <color theme="1"/>
        <rFont val="DejaVu Sans"/>
        <family val="2"/>
      </rPr>
      <t xml:space="preserve">컨셉 기획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프롬프트 설계</t>
    </r>
  </si>
  <si>
    <r>
      <rPr>
        <sz val="11"/>
        <color theme="1"/>
        <rFont val="Noto Sans"/>
        <family val="0"/>
        <charset val="1"/>
      </rPr>
      <t xml:space="preserve"> AI </t>
    </r>
    <r>
      <rPr>
        <sz val="11"/>
        <color theme="1"/>
        <rFont val="DejaVu Sans"/>
        <family val="2"/>
      </rPr>
      <t xml:space="preserve">세션 진행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강의 형식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</si>
  <si>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AI </t>
    </r>
    <r>
      <rPr>
        <sz val="11"/>
        <color theme="1"/>
        <rFont val="DejaVu Sans"/>
        <family val="2"/>
      </rPr>
      <t xml:space="preserve">관련 역량 향상을 위한 세션 진행 </t>
    </r>
    <r>
      <rPr>
        <sz val="11"/>
        <color theme="1"/>
        <rFont val="Calibri"/>
        <family val="0"/>
        <charset val="1"/>
      </rPr>
      <t xml:space="preserve">(3h </t>
    </r>
    <r>
      <rPr>
        <sz val="11"/>
        <color theme="1"/>
        <rFont val="DejaVu Sans"/>
        <family val="2"/>
      </rPr>
      <t xml:space="preserve">기준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</si>
  <si>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AI </t>
    </r>
    <r>
      <rPr>
        <sz val="11"/>
        <color theme="1"/>
        <rFont val="DejaVu Sans"/>
        <family val="2"/>
      </rPr>
      <t xml:space="preserve">제작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 지원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Noto Sans"/>
        <family val="0"/>
        <charset val="1"/>
      </rPr>
      <t xml:space="preserve">10</t>
    </r>
    <r>
      <rPr>
        <sz val="11"/>
        <color theme="1"/>
        <rFont val="DejaVu Sans"/>
        <family val="2"/>
      </rPr>
      <t xml:space="preserve">초↓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</si>
  <si>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DejaVu Sans"/>
        <family val="2"/>
      </rPr>
      <t xml:space="preserve">이미지 </t>
    </r>
    <r>
      <rPr>
        <sz val="11"/>
        <color theme="1"/>
        <rFont val="Calibri"/>
        <family val="0"/>
        <charset val="1"/>
      </rPr>
      <t xml:space="preserve">Upscale, </t>
    </r>
    <r>
      <rPr>
        <sz val="11"/>
        <color theme="1"/>
        <rFont val="DejaVu Sans"/>
        <family val="2"/>
      </rPr>
      <t xml:space="preserve">후보정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Calibri"/>
        <family val="0"/>
        <charset val="1"/>
      </rPr>
      <t xml:space="preserve">Upscale</t>
    </r>
  </si>
  <si>
    <r>
      <rPr>
        <sz val="11"/>
        <color theme="1"/>
        <rFont val="Noto Sans"/>
        <family val="0"/>
        <charset val="1"/>
      </rPr>
      <t xml:space="preserve">AI </t>
    </r>
    <r>
      <rPr>
        <sz val="11"/>
        <color theme="1"/>
        <rFont val="DejaVu Sans"/>
        <family val="2"/>
      </rPr>
      <t xml:space="preserve">제작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 지원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Noto Sans"/>
        <family val="0"/>
        <charset val="1"/>
      </rPr>
      <t xml:space="preserve">10</t>
    </r>
    <r>
      <rPr>
        <sz val="11"/>
        <color theme="1"/>
        <rFont val="DejaVu Sans"/>
        <family val="2"/>
      </rPr>
      <t xml:space="preserve">초↑</t>
    </r>
    <r>
      <rPr>
        <sz val="11"/>
        <color theme="1"/>
        <rFont val="Noto Sans"/>
        <family val="0"/>
        <charset val="1"/>
      </rPr>
      <t xml:space="preserve">]</t>
    </r>
  </si>
  <si>
    <t xml:space="preserve">-</t>
  </si>
  <si>
    <r>
      <rPr>
        <sz val="11"/>
        <color theme="1"/>
        <rFont val="Calibri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내용에 따라 별도 협의</t>
    </r>
  </si>
  <si>
    <r>
      <rPr>
        <sz val="11"/>
        <color theme="1"/>
        <rFont val="DejaVu Sans"/>
        <family val="2"/>
      </rPr>
      <t xml:space="preserve">홍보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이벤트 기획</t>
    </r>
  </si>
  <si>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캐러셀의 소재 기획은 포함 </t>
    </r>
    <r>
      <rPr>
        <sz val="11"/>
        <color theme="1"/>
        <rFont val="Calibri"/>
        <family val="0"/>
        <charset val="1"/>
      </rPr>
      <t xml:space="preserve">X</t>
    </r>
  </si>
  <si>
    <r>
      <rPr>
        <sz val="11"/>
        <color theme="1"/>
        <rFont val="DejaVu Sans"/>
        <family val="2"/>
      </rPr>
      <t xml:space="preserve">소재 제작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Noto Sans"/>
        <family val="0"/>
        <charset val="1"/>
      </rPr>
      <t xml:space="preserve">]</t>
    </r>
  </si>
  <si>
    <t xml:space="preserve">단일 이미지 소재제작</t>
  </si>
  <si>
    <r>
      <rPr>
        <sz val="11"/>
        <color theme="1"/>
        <rFont val="DejaVu Sans"/>
        <family val="2"/>
      </rPr>
      <t xml:space="preserve">소재 제작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캐러셀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</si>
  <si>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Calibri"/>
        <family val="0"/>
        <charset val="1"/>
      </rPr>
      <t xml:space="preserve">2p </t>
    </r>
    <r>
      <rPr>
        <sz val="11"/>
        <color theme="1"/>
        <rFont val="DejaVu Sans"/>
        <family val="2"/>
      </rPr>
      <t xml:space="preserve">이상의 캐러셀형 소재제작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카드뉴스 스타일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</si>
  <si>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소재 제작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</si>
  <si>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릴스</t>
    </r>
    <r>
      <rPr>
        <sz val="11"/>
        <color theme="1"/>
        <rFont val="Calibri"/>
        <family val="0"/>
        <charset val="1"/>
      </rPr>
      <t xml:space="preserve">)</t>
    </r>
    <r>
      <rPr>
        <sz val="11"/>
        <color theme="1"/>
        <rFont val="DejaVu Sans"/>
        <family val="2"/>
      </rPr>
      <t xml:space="preserve">형 콘텐츠 제작</t>
    </r>
  </si>
  <si>
    <t xml:space="preserve">이벤트 운영 지원</t>
  </si>
  <si>
    <r>
      <rPr>
        <sz val="11"/>
        <color theme="1"/>
        <rFont val="DejaVu Sans"/>
        <family val="2"/>
      </rPr>
      <t xml:space="preserve">당첨자 선정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경품 발송 등 업무 지원 </t>
    </r>
    <r>
      <rPr>
        <sz val="11"/>
        <color theme="1"/>
        <rFont val="Calibri"/>
        <family val="0"/>
        <charset val="1"/>
      </rPr>
      <t xml:space="preserve">(*</t>
    </r>
    <r>
      <rPr>
        <sz val="11"/>
        <color theme="1"/>
        <rFont val="DejaVu Sans"/>
        <family val="2"/>
      </rPr>
      <t xml:space="preserve">경품비 별도</t>
    </r>
    <r>
      <rPr>
        <sz val="11"/>
        <color theme="1"/>
        <rFont val="Calibri"/>
        <family val="0"/>
        <charset val="1"/>
      </rPr>
      <t xml:space="preserve">)</t>
    </r>
  </si>
  <si>
    <t xml:space="preserve"> </t>
  </si>
  <si>
    <r>
      <rPr>
        <b val="true"/>
        <sz val="11"/>
        <color theme="1"/>
        <rFont val="DejaVu Sans"/>
        <family val="2"/>
      </rPr>
      <t xml:space="preserve">순당포착 현재 산출물 세트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캐러셀</t>
    </r>
    <r>
      <rPr>
        <b val="true"/>
        <sz val="11"/>
        <color theme="1"/>
        <rFont val="Arial"/>
        <family val="0"/>
        <charset val="1"/>
      </rPr>
      <t xml:space="preserve">1+</t>
    </r>
    <r>
      <rPr>
        <b val="true"/>
        <sz val="11"/>
        <color theme="1"/>
        <rFont val="DejaVu Sans"/>
        <family val="2"/>
      </rPr>
      <t xml:space="preserve">숏폼</t>
    </r>
    <r>
      <rPr>
        <b val="true"/>
        <sz val="11"/>
        <color theme="1"/>
        <rFont val="Arial"/>
        <family val="0"/>
        <charset val="1"/>
      </rPr>
      <t xml:space="preserve">2) </t>
    </r>
    <r>
      <rPr>
        <b val="true"/>
        <sz val="11"/>
        <color theme="1"/>
        <rFont val="DejaVu Sans"/>
        <family val="2"/>
      </rPr>
      <t xml:space="preserve">기준 세트 단가 총액 </t>
    </r>
    <r>
      <rPr>
        <b val="true"/>
        <sz val="11"/>
        <color theme="1"/>
        <rFont val="Arial"/>
        <family val="0"/>
        <charset val="1"/>
      </rPr>
      <t xml:space="preserve">= ₩2,700,000</t>
    </r>
  </si>
  <si>
    <r>
      <rPr>
        <i val="true"/>
        <sz val="9"/>
        <color theme="1"/>
        <rFont val="Arial"/>
        <family val="0"/>
        <charset val="1"/>
      </rPr>
      <t xml:space="preserve">*</t>
    </r>
    <r>
      <rPr>
        <i val="true"/>
        <sz val="9"/>
        <color theme="1"/>
        <rFont val="DejaVu Sans"/>
        <family val="2"/>
      </rPr>
      <t xml:space="preserve">인당 시간당 단가</t>
    </r>
  </si>
  <si>
    <t xml:space="preserve">대분류</t>
  </si>
  <si>
    <t xml:space="preserve">항목</t>
  </si>
  <si>
    <t xml:space="preserve">인원</t>
  </si>
  <si>
    <r>
      <rPr>
        <b val="true"/>
        <sz val="11"/>
        <color rgb="FFFFFFFF"/>
        <rFont val="DejaVu Sans"/>
        <family val="2"/>
      </rPr>
      <t xml:space="preserve">시간당 단가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</si>
  <si>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M/H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</si>
  <si>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</si>
  <si>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sz val="11"/>
        <color theme="1"/>
        <rFont val="DejaVu Sans"/>
        <family val="2"/>
      </rPr>
      <t xml:space="preserve">답사 후 인터뷰지 구성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촬영기획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레퍼런스 탐색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캐릭터 기획</t>
    </r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</si>
  <si>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인 투입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Arial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사진</t>
    </r>
    <r>
      <rPr>
        <sz val="11"/>
        <color theme="1"/>
        <rFont val="Arial"/>
        <family val="0"/>
        <charset val="1"/>
      </rPr>
      <t xml:space="preserve">1), </t>
    </r>
    <r>
      <rPr>
        <sz val="11"/>
        <color theme="1"/>
        <rFont val="DejaVu Sans"/>
        <family val="2"/>
      </rPr>
      <t xml:space="preserve">준비</t>
    </r>
    <r>
      <rPr>
        <sz val="11"/>
        <color theme="1"/>
        <rFont val="Arial"/>
        <family val="0"/>
        <charset val="1"/>
      </rPr>
      <t xml:space="preserve">1h+</t>
    </r>
    <r>
      <rPr>
        <sz val="11"/>
        <color theme="1"/>
        <rFont val="DejaVu Sans"/>
        <family val="2"/>
      </rPr>
      <t xml:space="preserve">실내</t>
    </r>
    <r>
      <rPr>
        <sz val="11"/>
        <color theme="1"/>
        <rFont val="Arial"/>
        <family val="0"/>
        <charset val="1"/>
      </rPr>
      <t xml:space="preserve">4h+</t>
    </r>
    <r>
      <rPr>
        <sz val="11"/>
        <color theme="1"/>
        <rFont val="DejaVu Sans"/>
        <family val="2"/>
      </rPr>
      <t xml:space="preserve">주변</t>
    </r>
    <r>
      <rPr>
        <sz val="11"/>
        <color theme="1"/>
        <rFont val="Arial"/>
        <family val="0"/>
        <charset val="1"/>
      </rPr>
      <t xml:space="preserve">1h</t>
    </r>
  </si>
  <si>
    <t xml:space="preserve">캐러셀 편집</t>
  </si>
  <si>
    <t xml:space="preserve">피드용 화보 컷 보정</t>
  </si>
  <si>
    <r>
      <rPr>
        <sz val="11"/>
        <color theme="1"/>
        <rFont val="DejaVu Sans"/>
        <family val="2"/>
      </rPr>
      <t xml:space="preserve">캐러셀 디자인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DejaVu Sans"/>
        <family val="2"/>
      </rPr>
      <t xml:space="preserve">편집</t>
    </r>
  </si>
  <si>
    <t xml:space="preserve">영상 편집</t>
  </si>
  <si>
    <r>
      <rPr>
        <sz val="11"/>
        <color theme="1"/>
        <rFont val="DejaVu Sans"/>
        <family val="2"/>
      </rPr>
      <t xml:space="preserve">숏폼 산출물 기획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전체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</si>
  <si>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전체기획미팅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상세레퍼런스 서치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</si>
  <si>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#1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</si>
  <si>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DejaVu Sans"/>
        <family val="2"/>
      </rPr>
      <t xml:space="preserve">세부 숏폼 기획 </t>
    </r>
    <r>
      <rPr>
        <sz val="11"/>
        <color theme="1"/>
        <rFont val="Arial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편집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수정편집 포함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</si>
  <si>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#2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편집</t>
    </r>
  </si>
  <si>
    <t xml:space="preserve">합계</t>
  </si>
  <si>
    <r>
      <rPr>
        <b val="true"/>
        <sz val="11"/>
        <color theme="1"/>
        <rFont val="DejaVu Sans"/>
        <family val="2"/>
      </rPr>
      <t xml:space="preserve">기타 촬영</t>
    </r>
    <r>
      <rPr>
        <b val="true"/>
        <sz val="11"/>
        <color theme="1"/>
        <rFont val="Arial"/>
        <family val="0"/>
        <charset val="1"/>
      </rPr>
      <t xml:space="preserve">/</t>
    </r>
    <r>
      <rPr>
        <b val="true"/>
        <sz val="11"/>
        <color theme="1"/>
        <rFont val="DejaVu Sans"/>
        <family val="2"/>
      </rPr>
      <t xml:space="preserve">편집 관련 제작 실비는 별도 청구</t>
    </r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</si>
  <si>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회 촬영 시 발생하는 고정금액</t>
    </r>
    <r>
      <rPr>
        <sz val="11"/>
        <color theme="1"/>
        <rFont val="Arial"/>
        <family val="0"/>
        <charset val="1"/>
      </rPr>
      <t xml:space="preserve">: ₩1,600,000 (</t>
    </r>
    <r>
      <rPr>
        <sz val="11"/>
        <color theme="1"/>
        <rFont val="DejaVu Sans"/>
        <family val="2"/>
      </rPr>
      <t xml:space="preserve">영상편집 제외</t>
    </r>
    <r>
      <rPr>
        <sz val="11"/>
        <color theme="1"/>
        <rFont val="Arial"/>
        <family val="0"/>
        <charset val="1"/>
      </rPr>
      <t xml:space="preserve">)</t>
    </r>
  </si>
  <si>
    <r>
      <rPr>
        <i val="true"/>
        <sz val="11"/>
        <color theme="1"/>
        <rFont val="Arial"/>
        <family val="0"/>
        <charset val="1"/>
      </rPr>
      <t xml:space="preserve">*</t>
    </r>
    <r>
      <rPr>
        <i val="true"/>
        <sz val="11"/>
        <color theme="1"/>
        <rFont val="DejaVu Sans"/>
        <family val="2"/>
      </rPr>
      <t xml:space="preserve">기획 ₩</t>
    </r>
    <r>
      <rPr>
        <i val="true"/>
        <sz val="11"/>
        <color theme="1"/>
        <rFont val="Arial"/>
        <family val="0"/>
        <charset val="1"/>
      </rPr>
      <t xml:space="preserve">200,000 + </t>
    </r>
    <r>
      <rPr>
        <i val="true"/>
        <sz val="11"/>
        <color theme="1"/>
        <rFont val="DejaVu Sans"/>
        <family val="2"/>
      </rPr>
      <t xml:space="preserve">답사 ₩</t>
    </r>
    <r>
      <rPr>
        <i val="true"/>
        <sz val="11"/>
        <color theme="1"/>
        <rFont val="Arial"/>
        <family val="0"/>
        <charset val="1"/>
      </rPr>
      <t xml:space="preserve">150,000 + </t>
    </r>
    <r>
      <rPr>
        <i val="true"/>
        <sz val="11"/>
        <color theme="1"/>
        <rFont val="DejaVu Sans"/>
        <family val="2"/>
      </rPr>
      <t xml:space="preserve">촬영 ₩</t>
    </r>
    <r>
      <rPr>
        <i val="true"/>
        <sz val="11"/>
        <color theme="1"/>
        <rFont val="Arial"/>
        <family val="0"/>
        <charset val="1"/>
      </rPr>
      <t xml:space="preserve">600,000 + </t>
    </r>
    <r>
      <rPr>
        <i val="true"/>
        <sz val="11"/>
        <color theme="1"/>
        <rFont val="DejaVu Sans"/>
        <family val="2"/>
      </rPr>
      <t xml:space="preserve">사진보정 ₩</t>
    </r>
    <r>
      <rPr>
        <i val="true"/>
        <sz val="11"/>
        <color theme="1"/>
        <rFont val="Arial"/>
        <family val="0"/>
        <charset val="1"/>
      </rPr>
      <t xml:space="preserve">150,000 + </t>
    </r>
    <r>
      <rPr>
        <i val="true"/>
        <sz val="11"/>
        <color theme="1"/>
        <rFont val="DejaVu Sans"/>
        <family val="2"/>
      </rPr>
      <t xml:space="preserve">캐러셀디자인 ₩</t>
    </r>
    <r>
      <rPr>
        <i val="true"/>
        <sz val="11"/>
        <color theme="1"/>
        <rFont val="Arial"/>
        <family val="0"/>
        <charset val="1"/>
      </rPr>
      <t xml:space="preserve">200,000 + </t>
    </r>
    <r>
      <rPr>
        <i val="true"/>
        <sz val="11"/>
        <color theme="1"/>
        <rFont val="DejaVu Sans"/>
        <family val="2"/>
      </rPr>
      <t xml:space="preserve">영상기획</t>
    </r>
    <r>
      <rPr>
        <i val="true"/>
        <sz val="11"/>
        <color theme="1"/>
        <rFont val="Arial"/>
        <family val="0"/>
        <charset val="1"/>
      </rPr>
      <t xml:space="preserve">(</t>
    </r>
    <r>
      <rPr>
        <i val="true"/>
        <sz val="11"/>
        <color theme="1"/>
        <rFont val="DejaVu Sans"/>
        <family val="2"/>
      </rPr>
      <t xml:space="preserve">전체</t>
    </r>
    <r>
      <rPr>
        <i val="true"/>
        <sz val="11"/>
        <color theme="1"/>
        <rFont val="Arial"/>
        <family val="0"/>
        <charset val="1"/>
      </rPr>
      <t xml:space="preserve">) ₩300,000 + ₩550,000</t>
    </r>
  </si>
  <si>
    <r>
      <rPr>
        <sz val="11"/>
        <color theme="1"/>
        <rFont val="DejaVu Sans"/>
        <family val="2"/>
      </rPr>
      <t xml:space="preserve">산출물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개 영상에 대한 변동비</t>
    </r>
    <r>
      <rPr>
        <sz val="11"/>
        <color theme="1"/>
        <rFont val="Arial"/>
        <family val="0"/>
        <charset val="1"/>
      </rPr>
      <t xml:space="preserve">: ₩550,000/</t>
    </r>
    <r>
      <rPr>
        <sz val="11"/>
        <color theme="1"/>
        <rFont val="DejaVu Sans"/>
        <family val="2"/>
      </rPr>
      <t xml:space="preserve">편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세부 숏폼 기획 ₩</t>
    </r>
    <r>
      <rPr>
        <sz val="11"/>
        <color theme="1"/>
        <rFont val="Arial"/>
        <family val="0"/>
        <charset val="1"/>
      </rPr>
      <t xml:space="preserve">150,000 + </t>
    </r>
    <r>
      <rPr>
        <sz val="11"/>
        <color theme="1"/>
        <rFont val="DejaVu Sans"/>
        <family val="2"/>
      </rPr>
      <t xml:space="preserve">편집 ₩</t>
    </r>
    <r>
      <rPr>
        <sz val="11"/>
        <color theme="1"/>
        <rFont val="Arial"/>
        <family val="0"/>
        <charset val="1"/>
      </rPr>
      <t xml:space="preserve">400,000)</t>
    </r>
  </si>
  <si>
    <r>
      <rPr>
        <sz val="11"/>
        <color theme="1"/>
        <rFont val="DejaVu Sans"/>
        <family val="2"/>
      </rPr>
      <t xml:space="preserve">풀세트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캐러셀</t>
    </r>
    <r>
      <rPr>
        <sz val="11"/>
        <color theme="1"/>
        <rFont val="Arial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2): ₩1,600,000 + ₩550,000×2 = ₩2,700,000</t>
    </r>
  </si>
  <si>
    <r>
      <rPr>
        <sz val="11"/>
        <color theme="1"/>
        <rFont val="DejaVu Sans"/>
        <family val="2"/>
      </rPr>
      <t xml:space="preserve">축소세트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캐러셀</t>
    </r>
    <r>
      <rPr>
        <sz val="11"/>
        <color theme="1"/>
        <rFont val="Arial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1): ₩1,600,000 + ₩550,000×1 = ₩2,150,000</t>
    </r>
  </si>
  <si>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DejaVu Sans"/>
        <family val="2"/>
      </rPr>
      <t xml:space="preserve">막</t>
    </r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DejaVu Sans"/>
        <family val="2"/>
      </rPr>
      <t xml:space="preserve">장 기본세트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숏폼</t>
    </r>
    <r>
      <rPr>
        <b val="true"/>
        <sz val="11"/>
        <color theme="1"/>
        <rFont val="Arial"/>
        <family val="0"/>
        <charset val="1"/>
      </rPr>
      <t xml:space="preserve">2) = ₩1,550,000</t>
    </r>
  </si>
  <si>
    <r>
      <rPr>
        <sz val="11"/>
        <color theme="1"/>
        <rFont val="DejaVu Sans"/>
        <family val="2"/>
      </rPr>
      <t xml:space="preserve">데스크리서치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레퍼런스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기획</t>
    </r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</si>
  <si>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인 투입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핸드헬드캠</t>
    </r>
    <r>
      <rPr>
        <sz val="11"/>
        <color theme="1"/>
        <rFont val="Arial"/>
        <family val="0"/>
        <charset val="1"/>
      </rPr>
      <t xml:space="preserve">1+</t>
    </r>
    <r>
      <rPr>
        <sz val="11"/>
        <color theme="1"/>
        <rFont val="DejaVu Sans"/>
        <family val="2"/>
      </rPr>
      <t xml:space="preserve">짐벌캠</t>
    </r>
    <r>
      <rPr>
        <sz val="11"/>
        <color theme="1"/>
        <rFont val="Arial"/>
        <family val="0"/>
        <charset val="1"/>
      </rPr>
      <t xml:space="preserve">1)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</si>
  <si>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#1 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</si>
  <si>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#2 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</si>
  <si>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회 촬영 시 발생하는 고정금액</t>
    </r>
    <r>
      <rPr>
        <sz val="11"/>
        <color theme="1"/>
        <rFont val="Arial"/>
        <family val="0"/>
        <charset val="1"/>
      </rPr>
      <t xml:space="preserve">: ₩950,000 (</t>
    </r>
    <r>
      <rPr>
        <sz val="11"/>
        <color theme="1"/>
        <rFont val="DejaVu Sans"/>
        <family val="2"/>
      </rPr>
      <t xml:space="preserve">기획 ₩</t>
    </r>
    <r>
      <rPr>
        <sz val="11"/>
        <color theme="1"/>
        <rFont val="Arial"/>
        <family val="0"/>
        <charset val="1"/>
      </rPr>
      <t xml:space="preserve">200,000 + </t>
    </r>
    <r>
      <rPr>
        <sz val="11"/>
        <color theme="1"/>
        <rFont val="DejaVu Sans"/>
        <family val="2"/>
      </rPr>
      <t xml:space="preserve">촬영 ₩</t>
    </r>
    <r>
      <rPr>
        <sz val="11"/>
        <color theme="1"/>
        <rFont val="Arial"/>
        <family val="0"/>
        <charset val="1"/>
      </rPr>
      <t xml:space="preserve">600,000 + </t>
    </r>
    <r>
      <rPr>
        <sz val="11"/>
        <color theme="1"/>
        <rFont val="DejaVu Sans"/>
        <family val="2"/>
      </rPr>
      <t xml:space="preserve">색보정 ₩</t>
    </r>
    <r>
      <rPr>
        <sz val="11"/>
        <color theme="1"/>
        <rFont val="Arial"/>
        <family val="0"/>
        <charset val="1"/>
      </rPr>
      <t xml:space="preserve">150,000)</t>
    </r>
  </si>
  <si>
    <r>
      <rPr>
        <sz val="11"/>
        <color theme="1"/>
        <rFont val="DejaVu Sans"/>
        <family val="2"/>
      </rPr>
      <t xml:space="preserve">산출물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개 영상에 대한 변동비</t>
    </r>
    <r>
      <rPr>
        <sz val="11"/>
        <color theme="1"/>
        <rFont val="Arial"/>
        <family val="0"/>
        <charset val="1"/>
      </rPr>
      <t xml:space="preserve">: ₩300,000/</t>
    </r>
    <r>
      <rPr>
        <sz val="11"/>
        <color theme="1"/>
        <rFont val="DejaVu Sans"/>
        <family val="2"/>
      </rPr>
      <t xml:space="preserve">숏폼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</si>
  <si>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1: ₩1,250,000 / 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2: ₩1,550,000 / </t>
    </r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3: ₩1,850,000</t>
    </r>
  </si>
  <si>
    <r>
      <rPr>
        <b val="true"/>
        <sz val="11"/>
        <color theme="1"/>
        <rFont val="DejaVu Sans"/>
        <family val="2"/>
      </rPr>
      <t xml:space="preserve">가격 매트릭스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할인 적용 후 청구금액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</si>
  <si>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* </t>
    </r>
    <r>
      <rPr>
        <sz val="11"/>
        <color theme="1"/>
        <rFont val="DejaVu Sans"/>
        <family val="2"/>
      </rPr>
      <t xml:space="preserve">모든 금액에는 비정기</t>
    </r>
    <r>
      <rPr>
        <sz val="11"/>
        <color theme="1"/>
        <rFont val="Arial"/>
        <family val="0"/>
        <charset val="1"/>
      </rPr>
      <t xml:space="preserve">(AI</t>
    </r>
    <r>
      <rPr>
        <sz val="11"/>
        <color theme="1"/>
        <rFont val="DejaVu Sans"/>
        <family val="2"/>
      </rPr>
      <t xml:space="preserve">스터디 ₩</t>
    </r>
    <r>
      <rPr>
        <sz val="11"/>
        <color theme="1"/>
        <rFont val="Arial"/>
        <family val="0"/>
        <charset val="1"/>
      </rPr>
      <t xml:space="preserve">450,000 + </t>
    </r>
    <r>
      <rPr>
        <sz val="11"/>
        <color theme="1"/>
        <rFont val="DejaVu Sans"/>
        <family val="2"/>
      </rPr>
      <t xml:space="preserve">홍보이벤트 ₩</t>
    </r>
    <r>
      <rPr>
        <sz val="11"/>
        <color theme="1"/>
        <rFont val="Arial"/>
        <family val="0"/>
        <charset val="1"/>
      </rPr>
      <t xml:space="preserve">400,000) + </t>
    </r>
    <r>
      <rPr>
        <sz val="11"/>
        <color theme="1"/>
        <rFont val="DejaVu Sans"/>
        <family val="2"/>
      </rPr>
      <t xml:space="preserve">채널운영 ₩</t>
    </r>
    <r>
      <rPr>
        <sz val="11"/>
        <color theme="1"/>
        <rFont val="Arial"/>
        <family val="0"/>
        <charset val="1"/>
      </rPr>
      <t xml:space="preserve">200,000 = ₩1,050,000 </t>
    </r>
    <r>
      <rPr>
        <sz val="11"/>
        <color theme="1"/>
        <rFont val="DejaVu Sans"/>
        <family val="2"/>
      </rPr>
      <t xml:space="preserve">포함</t>
    </r>
  </si>
  <si>
    <r>
      <rPr>
        <b val="true"/>
        <sz val="11"/>
        <color rgb="FF3D85C6"/>
        <rFont val="Arial"/>
        <family val="0"/>
        <charset val="1"/>
      </rPr>
      <t xml:space="preserve">* </t>
    </r>
    <r>
      <rPr>
        <b val="true"/>
        <sz val="11"/>
        <color rgb="FF3D85C6"/>
        <rFont val="DejaVu Sans"/>
        <family val="2"/>
      </rPr>
      <t xml:space="preserve">풀 </t>
    </r>
    <r>
      <rPr>
        <b val="true"/>
        <sz val="11"/>
        <color rgb="FF3D85C6"/>
        <rFont val="Arial"/>
        <family val="0"/>
        <charset val="1"/>
      </rPr>
      <t xml:space="preserve">: </t>
    </r>
    <r>
      <rPr>
        <b val="true"/>
        <sz val="11"/>
        <color rgb="FF3D85C6"/>
        <rFont val="DejaVu Sans"/>
        <family val="2"/>
      </rPr>
      <t xml:space="preserve">영상</t>
    </r>
    <r>
      <rPr>
        <b val="true"/>
        <sz val="11"/>
        <color rgb="FF3D85C6"/>
        <rFont val="Arial"/>
        <family val="0"/>
        <charset val="1"/>
      </rPr>
      <t xml:space="preserve">2+</t>
    </r>
    <r>
      <rPr>
        <b val="true"/>
        <sz val="11"/>
        <color rgb="FF3D85C6"/>
        <rFont val="DejaVu Sans"/>
        <family val="2"/>
      </rPr>
      <t xml:space="preserve">캐러셀</t>
    </r>
    <r>
      <rPr>
        <b val="true"/>
        <sz val="11"/>
        <color rgb="FF3D85C6"/>
        <rFont val="Arial"/>
        <family val="0"/>
        <charset val="1"/>
      </rPr>
      <t xml:space="preserve">1</t>
    </r>
    <r>
      <rPr>
        <b val="true"/>
        <sz val="11"/>
        <color rgb="FF3D85C6"/>
        <rFont val="DejaVu Sans"/>
        <family val="2"/>
      </rPr>
      <t xml:space="preserve">의 세트를 의미 </t>
    </r>
    <r>
      <rPr>
        <b val="true"/>
        <sz val="11"/>
        <color rgb="FF3D85C6"/>
        <rFont val="Arial"/>
        <family val="0"/>
        <charset val="1"/>
      </rPr>
      <t xml:space="preserve">/ </t>
    </r>
    <r>
      <rPr>
        <b val="true"/>
        <sz val="11"/>
        <color rgb="FF3D85C6"/>
        <rFont val="DejaVu Sans"/>
        <family val="2"/>
      </rPr>
      <t xml:space="preserve">축소 </t>
    </r>
    <r>
      <rPr>
        <b val="true"/>
        <sz val="11"/>
        <color rgb="FF3D85C6"/>
        <rFont val="Arial"/>
        <family val="0"/>
        <charset val="1"/>
      </rPr>
      <t xml:space="preserve">: </t>
    </r>
    <r>
      <rPr>
        <b val="true"/>
        <sz val="11"/>
        <color rgb="FF3D85C6"/>
        <rFont val="DejaVu Sans"/>
        <family val="2"/>
      </rPr>
      <t xml:space="preserve">영상</t>
    </r>
    <r>
      <rPr>
        <b val="true"/>
        <sz val="11"/>
        <color rgb="FF3D85C6"/>
        <rFont val="Arial"/>
        <family val="0"/>
        <charset val="1"/>
      </rPr>
      <t xml:space="preserve">1+</t>
    </r>
    <r>
      <rPr>
        <b val="true"/>
        <sz val="11"/>
        <color rgb="FF3D85C6"/>
        <rFont val="DejaVu Sans"/>
        <family val="2"/>
      </rPr>
      <t xml:space="preserve">캐러셀</t>
    </r>
    <r>
      <rPr>
        <b val="true"/>
        <sz val="11"/>
        <color rgb="FF3D85C6"/>
        <rFont val="Arial"/>
        <family val="0"/>
        <charset val="1"/>
      </rPr>
      <t xml:space="preserve">1</t>
    </r>
    <r>
      <rPr>
        <b val="true"/>
        <sz val="11"/>
        <color rgb="FF3D85C6"/>
        <rFont val="DejaVu Sans"/>
        <family val="2"/>
      </rPr>
      <t xml:space="preserve">의 세트를 의미 </t>
    </r>
    <r>
      <rPr>
        <b val="true"/>
        <sz val="11"/>
        <color rgb="FF3D85C6"/>
        <rFont val="Arial"/>
        <family val="0"/>
        <charset val="1"/>
      </rPr>
      <t xml:space="preserve">(</t>
    </r>
    <r>
      <rPr>
        <b val="true"/>
        <sz val="11"/>
        <color rgb="FF3D85C6"/>
        <rFont val="DejaVu Sans"/>
        <family val="2"/>
      </rPr>
      <t xml:space="preserve">화보 이미지는 공통으로 포함</t>
    </r>
    <r>
      <rPr>
        <b val="true"/>
        <sz val="11"/>
        <color rgb="FF3D85C6"/>
        <rFont val="Arial"/>
        <family val="0"/>
        <charset val="1"/>
      </rPr>
      <t xml:space="preserve">)</t>
    </r>
  </si>
  <si>
    <r>
      <rPr>
        <b val="true"/>
        <sz val="11"/>
        <color theme="1"/>
        <rFont val="Arial"/>
        <family val="0"/>
        <charset val="1"/>
      </rPr>
      <t xml:space="preserve">Raw Value Matrix (</t>
    </r>
    <r>
      <rPr>
        <b val="true"/>
        <sz val="11"/>
        <color theme="1"/>
        <rFont val="DejaVu Sans"/>
        <family val="2"/>
      </rPr>
      <t xml:space="preserve">할인 전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단가 기준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</si>
  <si>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theme="1"/>
        <rFont val="Arial"/>
        <family val="0"/>
        <charset val="1"/>
      </rPr>
      <t xml:space="preserve">Final Price Matrix (</t>
    </r>
    <r>
      <rPr>
        <b val="true"/>
        <sz val="11"/>
        <color theme="1"/>
        <rFont val="DejaVu Sans"/>
        <family val="2"/>
      </rPr>
      <t xml:space="preserve">할인 적용 후 </t>
    </r>
    <r>
      <rPr>
        <b val="true"/>
        <sz val="11"/>
        <color theme="1"/>
        <rFont val="Arial"/>
        <family val="0"/>
        <charset val="1"/>
      </rPr>
      <t xml:space="preserve">/ </t>
    </r>
    <r>
      <rPr>
        <b val="true"/>
        <sz val="11"/>
        <color theme="1"/>
        <rFont val="DejaVu Sans"/>
        <family val="2"/>
      </rPr>
      <t xml:space="preserve">현재 적용가보다 커지는 경우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더 큰 할인율을 적용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</si>
  <si>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순당포착 </t>
    </r>
    <r>
      <rPr>
        <b val="true"/>
        <sz val="11"/>
        <color rgb="FFFFFFFF"/>
        <rFont val="Arial"/>
        <family val="0"/>
        <charset val="1"/>
      </rPr>
      <t xml:space="preserve">\ 1</t>
    </r>
    <r>
      <rPr>
        <b val="true"/>
        <sz val="11"/>
        <color rgb="FFFFFFFF"/>
        <rFont val="DejaVu Sans"/>
        <family val="2"/>
      </rPr>
      <t xml:space="preserve">막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장</t>
    </r>
  </si>
  <si>
    <r>
      <rPr>
        <b val="true"/>
        <sz val="11"/>
        <color rgb="FFFFFFFF"/>
        <rFont val="DejaVu Sans"/>
        <family val="2"/>
      </rPr>
      <t xml:space="preserve">숏폼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</si>
  <si>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DejaVu Sans"/>
        <family val="2"/>
      </rPr>
      <t xml:space="preserve">숏폼</t>
    </r>
    <r>
      <rPr>
        <b val="true"/>
        <sz val="11"/>
        <color rgb="FFFFFFFF"/>
        <rFont val="Arial"/>
        <family val="0"/>
        <charset val="1"/>
      </rPr>
      <t xml:space="preserve">2 (</t>
    </r>
    <r>
      <rPr>
        <b val="true"/>
        <sz val="11"/>
        <color rgb="FFFFFFFF"/>
        <rFont val="DejaVu Sans"/>
        <family val="2"/>
      </rPr>
      <t xml:space="preserve">현재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</si>
  <si>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숏폼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</si>
  <si>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×1</t>
    </r>
  </si>
  <si>
    <r>
      <rPr>
        <sz val="11"/>
        <color theme="1"/>
        <rFont val="DejaVu Sans"/>
        <family val="2"/>
      </rPr>
      <t xml:space="preserve">축소</t>
    </r>
    <r>
      <rPr>
        <sz val="11"/>
        <color theme="1"/>
        <rFont val="Arial"/>
        <family val="0"/>
        <charset val="1"/>
      </rPr>
      <t xml:space="preserve">×2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</si>
  <si>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×2 (</t>
    </r>
    <r>
      <rPr>
        <sz val="11"/>
        <color theme="1"/>
        <rFont val="DejaVu Sans"/>
        <family val="2"/>
      </rPr>
      <t xml:space="preserve">현재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</si>
  <si>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축소</t>
    </r>
    <r>
      <rPr>
        <sz val="11"/>
        <color theme="1"/>
        <rFont val="Arial"/>
        <family val="0"/>
        <charset val="1"/>
      </rPr>
      <t xml:space="preserve">×3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</si>
  <si>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×2+</t>
    </r>
    <r>
      <rPr>
        <sz val="11"/>
        <color theme="1"/>
        <rFont val="DejaVu Sans"/>
        <family val="2"/>
      </rPr>
      <t xml:space="preserve">축소</t>
    </r>
    <r>
      <rPr>
        <sz val="11"/>
        <color theme="1"/>
        <rFont val="Arial"/>
        <family val="0"/>
        <charset val="1"/>
      </rPr>
      <t xml:space="preserve">×1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</si>
  <si>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×3</t>
    </r>
  </si>
  <si>
    <r>
      <rPr>
        <sz val="11"/>
        <color theme="1"/>
        <rFont val="DejaVu Sans"/>
        <family val="2"/>
      </rPr>
      <t xml:space="preserve">축소</t>
    </r>
    <r>
      <rPr>
        <sz val="11"/>
        <color theme="1"/>
        <rFont val="Arial"/>
        <family val="0"/>
        <charset val="1"/>
      </rPr>
      <t xml:space="preserve">×4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</si>
  <si>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×2+</t>
    </r>
    <r>
      <rPr>
        <sz val="11"/>
        <color theme="1"/>
        <rFont val="DejaVu Sans"/>
        <family val="2"/>
      </rPr>
      <t xml:space="preserve">축소</t>
    </r>
    <r>
      <rPr>
        <sz val="11"/>
        <color theme="1"/>
        <rFont val="Arial"/>
        <family val="0"/>
        <charset val="1"/>
      </rPr>
      <t xml:space="preserve">×2</t>
    </r>
  </si>
  <si>
    <t xml:space="preserve">상세 시나리오 및 할인율</t>
  </si>
  <si>
    <t xml:space="preserve">#</t>
  </si>
  <si>
    <t xml:space="preserve">순당포착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</si>
  <si>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막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장</t>
    </r>
  </si>
  <si>
    <t xml:space="preserve">Raw</t>
  </si>
  <si>
    <t xml:space="preserve">할인금액</t>
  </si>
  <si>
    <t xml:space="preserve">청구금액</t>
  </si>
  <si>
    <t xml:space="preserve">할인</t>
  </si>
  <si>
    <r>
      <rPr>
        <sz val="11"/>
        <color theme="1"/>
        <rFont val="Arial"/>
        <family val="0"/>
        <charset val="1"/>
      </rPr>
      <t xml:space="preserve">A (</t>
    </r>
    <r>
      <rPr>
        <sz val="11"/>
        <color theme="1"/>
        <rFont val="DejaVu Sans"/>
        <family val="2"/>
      </rPr>
      <t xml:space="preserve">현재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</si>
  <si>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풀</t>
    </r>
    <r>
      <rPr>
        <sz val="11"/>
        <color theme="1"/>
        <rFont val="Arial"/>
        <family val="0"/>
        <charset val="1"/>
      </rPr>
      <t xml:space="preserve">×2</t>
    </r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</si>
  <si>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2</t>
    </r>
  </si>
  <si>
    <r>
      <rPr>
        <sz val="11"/>
        <color theme="1"/>
        <rFont val="Arial"/>
        <family val="0"/>
        <charset val="1"/>
      </rPr>
      <t xml:space="preserve">₩8,000,000 </t>
    </r>
    <r>
      <rPr>
        <sz val="11"/>
        <color theme="1"/>
        <rFont val="DejaVu Sans"/>
        <family val="2"/>
      </rPr>
      <t xml:space="preserve">이상 시 총액에서 ₩</t>
    </r>
    <r>
      <rPr>
        <sz val="11"/>
        <color theme="1"/>
        <rFont val="Arial"/>
        <family val="0"/>
        <charset val="1"/>
      </rPr>
      <t xml:space="preserve">500,000 </t>
    </r>
    <r>
      <rPr>
        <sz val="11"/>
        <color theme="1"/>
        <rFont val="DejaVu Sans"/>
        <family val="2"/>
      </rPr>
      <t xml:space="preserve">할인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Arial"/>
        <family val="0"/>
        <charset val="1"/>
      </rPr>
      <t xml:space="preserve">6~7% </t>
    </r>
    <r>
      <rPr>
        <sz val="11"/>
        <color theme="1"/>
        <rFont val="DejaVu Sans"/>
        <family val="2"/>
      </rPr>
      <t xml:space="preserve">할인율</t>
    </r>
    <r>
      <rPr>
        <sz val="11"/>
        <color theme="1"/>
        <rFont val="Arial"/>
        <family val="0"/>
        <charset val="1"/>
      </rPr>
      <t xml:space="preserve">)</t>
    </r>
  </si>
  <si>
    <t xml:space="preserve">B1</t>
  </si>
  <si>
    <r>
      <rPr>
        <sz val="11"/>
        <color theme="1"/>
        <rFont val="DejaVu Sans"/>
        <family val="2"/>
      </rPr>
      <t xml:space="preserve">숏폼</t>
    </r>
    <r>
      <rPr>
        <sz val="11"/>
        <color theme="1"/>
        <rFont val="Arial"/>
        <family val="0"/>
        <charset val="1"/>
      </rPr>
      <t xml:space="preserve">3</t>
    </r>
  </si>
  <si>
    <t xml:space="preserve">C1</t>
  </si>
  <si>
    <r>
      <rPr>
        <sz val="11"/>
        <color theme="1"/>
        <rFont val="Arial"/>
        <family val="0"/>
        <charset val="1"/>
      </rPr>
      <t xml:space="preserve">₩9,000,000 </t>
    </r>
    <r>
      <rPr>
        <sz val="11"/>
        <color theme="1"/>
        <rFont val="DejaVu Sans"/>
        <family val="2"/>
      </rPr>
      <t xml:space="preserve">이상 시 총액에서 ₩</t>
    </r>
    <r>
      <rPr>
        <sz val="11"/>
        <color theme="1"/>
        <rFont val="Arial"/>
        <family val="0"/>
        <charset val="1"/>
      </rPr>
      <t xml:space="preserve">700,000 </t>
    </r>
    <r>
      <rPr>
        <sz val="11"/>
        <color theme="1"/>
        <rFont val="DejaVu Sans"/>
        <family val="2"/>
      </rPr>
      <t xml:space="preserve">할인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Arial"/>
        <family val="0"/>
        <charset val="1"/>
      </rPr>
      <t xml:space="preserve">6~7% </t>
    </r>
    <r>
      <rPr>
        <sz val="11"/>
        <color theme="1"/>
        <rFont val="DejaVu Sans"/>
        <family val="2"/>
      </rPr>
      <t xml:space="preserve">할인율</t>
    </r>
    <r>
      <rPr>
        <sz val="11"/>
        <color theme="1"/>
        <rFont val="Arial"/>
        <family val="0"/>
        <charset val="1"/>
      </rPr>
      <t xml:space="preserve">)</t>
    </r>
  </si>
  <si>
    <t xml:space="preserve">C2</t>
  </si>
  <si>
    <t xml:space="preserve">C3</t>
  </si>
  <si>
    <r>
      <rPr>
        <sz val="11"/>
        <color theme="1"/>
        <rFont val="Arial"/>
        <family val="0"/>
        <charset val="1"/>
      </rPr>
      <t xml:space="preserve">8,000,000 </t>
    </r>
    <r>
      <rPr>
        <sz val="11"/>
        <color theme="1"/>
        <rFont val="DejaVu Sans"/>
        <family val="2"/>
      </rPr>
      <t xml:space="preserve">이상 시 </t>
    </r>
    <r>
      <rPr>
        <sz val="11"/>
        <color theme="1"/>
        <rFont val="Arial"/>
        <family val="0"/>
        <charset val="1"/>
      </rPr>
      <t xml:space="preserve">500,000 </t>
    </r>
    <r>
      <rPr>
        <sz val="11"/>
        <color theme="1"/>
        <rFont val="DejaVu Sans"/>
        <family val="2"/>
      </rPr>
      <t xml:space="preserve">할인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Arial"/>
        <family val="0"/>
        <charset val="1"/>
      </rPr>
      <t xml:space="preserve">6~7% </t>
    </r>
    <r>
      <rPr>
        <sz val="11"/>
        <color theme="1"/>
        <rFont val="DejaVu Sans"/>
        <family val="2"/>
      </rPr>
      <t xml:space="preserve">할인율</t>
    </r>
    <r>
      <rPr>
        <sz val="11"/>
        <color theme="1"/>
        <rFont val="Arial"/>
        <family val="0"/>
        <charset val="1"/>
      </rPr>
      <t xml:space="preserve">)</t>
    </r>
  </si>
  <si>
    <t xml:space="preserve">C4</t>
  </si>
  <si>
    <t xml:space="preserve">C5</t>
  </si>
  <si>
    <t xml:space="preserve">D1</t>
  </si>
  <si>
    <t xml:space="preserve">D2</t>
  </si>
  <si>
    <t xml:space="preserve">D3</t>
  </si>
  <si>
    <r>
      <rPr>
        <sz val="11"/>
        <rFont val="DejaVu Sans"/>
        <family val="2"/>
      </rPr>
      <t xml:space="preserve">합계 </t>
    </r>
    <r>
      <rPr>
        <sz val="11"/>
        <rFont val="Arial"/>
        <family val="0"/>
        <charset val="1"/>
      </rPr>
      <t xml:space="preserve">(₩)</t>
    </r>
  </si>
  <si>
    <r>
      <rPr>
        <b val="true"/>
        <sz val="11"/>
        <rFont val="Arial"/>
        <family val="0"/>
        <charset val="1"/>
      </rPr>
      <t xml:space="preserve">26-2</t>
    </r>
    <r>
      <rPr>
        <b val="true"/>
        <sz val="11"/>
        <rFont val="DejaVu Sans"/>
        <family val="2"/>
      </rPr>
      <t xml:space="preserve">월 청구분</t>
    </r>
  </si>
  <si>
    <r>
      <rPr>
        <b val="true"/>
        <sz val="11"/>
        <rFont val="DejaVu Sans"/>
        <family val="2"/>
      </rPr>
      <t xml:space="preserve">순당포착 </t>
    </r>
    <r>
      <rPr>
        <b val="true"/>
        <sz val="11"/>
        <rFont val="Arial"/>
        <family val="0"/>
        <charset val="1"/>
      </rPr>
      <t xml:space="preserve">(2</t>
    </r>
    <r>
      <rPr>
        <b val="true"/>
        <sz val="11"/>
        <rFont val="DejaVu Sans"/>
        <family val="2"/>
      </rPr>
      <t xml:space="preserve">건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</si>
  <si>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쪼가리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수묵 </t>
    </r>
    <r>
      <rPr>
        <sz val="11"/>
        <rFont val="Arial"/>
        <family val="0"/>
        <charset val="1"/>
      </rPr>
      <t xml:space="preserve">| </t>
    </r>
    <r>
      <rPr>
        <sz val="11"/>
        <rFont val="DejaVu Sans"/>
        <family val="2"/>
      </rPr>
      <t xml:space="preserve">월 </t>
    </r>
    <r>
      <rPr>
        <sz val="11"/>
        <rFont val="Arial"/>
        <family val="0"/>
        <charset val="1"/>
      </rPr>
      <t xml:space="preserve">2</t>
    </r>
    <r>
      <rPr>
        <sz val="11"/>
        <rFont val="DejaVu Sans"/>
        <family val="2"/>
      </rPr>
      <t xml:space="preserve">편 기본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할인가 적용</t>
    </r>
    <r>
      <rPr>
        <sz val="11"/>
        <rFont val="Arial"/>
        <family val="0"/>
        <charset val="1"/>
      </rPr>
      <t xml:space="preserve">), </t>
    </r>
    <r>
      <rPr>
        <sz val="11"/>
        <rFont val="DejaVu Sans"/>
        <family val="2"/>
      </rPr>
      <t xml:space="preserve">예산개요 기준</t>
    </r>
  </si>
  <si>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막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장 </t>
    </r>
    <r>
      <rPr>
        <sz val="11"/>
        <rFont val="Arial"/>
        <family val="0"/>
        <charset val="1"/>
      </rPr>
      <t xml:space="preserve">(2</t>
    </r>
    <r>
      <rPr>
        <sz val="11"/>
        <rFont val="DejaVu Sans"/>
        <family val="2"/>
      </rPr>
      <t xml:space="preserve">건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</si>
  <si>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숏폼 </t>
    </r>
    <r>
      <rPr>
        <sz val="11"/>
        <rFont val="Arial"/>
        <family val="0"/>
        <charset val="1"/>
      </rPr>
      <t xml:space="preserve">2</t>
    </r>
    <r>
      <rPr>
        <sz val="11"/>
        <rFont val="DejaVu Sans"/>
        <family val="2"/>
      </rPr>
      <t xml:space="preserve">건 </t>
    </r>
    <r>
      <rPr>
        <sz val="11"/>
        <rFont val="Arial"/>
        <family val="0"/>
        <charset val="1"/>
      </rPr>
      <t xml:space="preserve">| </t>
    </r>
    <r>
      <rPr>
        <sz val="11"/>
        <rFont val="DejaVu Sans"/>
        <family val="2"/>
      </rPr>
      <t xml:space="preserve">예산개요 기준</t>
    </r>
  </si>
  <si>
    <t xml:space="preserve">채널 운영 및 업로드 지원</t>
  </si>
  <si>
    <r>
      <rPr>
        <sz val="11"/>
        <rFont val="DejaVu Sans"/>
        <family val="2"/>
      </rPr>
      <t xml:space="preserve">비정기 콘텐츠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기본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</si>
  <si>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설연휴 이벤트 포함 </t>
    </r>
    <r>
      <rPr>
        <sz val="11"/>
        <rFont val="Arial"/>
        <family val="0"/>
        <charset val="1"/>
      </rPr>
      <t xml:space="preserve">| </t>
    </r>
    <r>
      <rPr>
        <sz val="11"/>
        <rFont val="DejaVu Sans"/>
        <family val="2"/>
      </rPr>
      <t xml:space="preserve">월 기본 비정기 크레딧</t>
    </r>
  </si>
  <si>
    <t xml:space="preserve">소계</t>
  </si>
  <si>
    <r>
      <rPr>
        <sz val="11"/>
        <rFont val="Arial"/>
        <family val="0"/>
        <charset val="1"/>
      </rPr>
      <t xml:space="preserve">VAT </t>
    </r>
    <r>
      <rPr>
        <sz val="11"/>
        <rFont val="DejaVu Sans"/>
        <family val="2"/>
      </rPr>
      <t xml:space="preserve">별도</t>
    </r>
  </si>
  <si>
    <r>
      <rPr>
        <sz val="11"/>
        <rFont val="DejaVu Sans"/>
        <family val="2"/>
      </rPr>
      <t xml:space="preserve">비정기 콘텐츠 제작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영상</t>
    </r>
    <r>
      <rPr>
        <sz val="11"/>
        <rFont val="Arial"/>
        <family val="0"/>
        <charset val="1"/>
      </rPr>
      <t xml:space="preserve">)</t>
    </r>
  </si>
  <si>
    <t xml:space="preserve">편</t>
  </si>
  <si>
    <r>
      <rPr>
        <sz val="11"/>
        <rFont val="DejaVu Sans"/>
        <family val="2"/>
      </rPr>
      <t xml:space="preserve">순당포착 티저 영상 제작 </t>
    </r>
    <r>
      <rPr>
        <sz val="11"/>
        <rFont val="Arial"/>
        <family val="0"/>
        <charset val="1"/>
      </rPr>
      <t xml:space="preserve">| </t>
    </r>
    <r>
      <rPr>
        <sz val="11"/>
        <rFont val="DejaVu Sans"/>
        <family val="2"/>
      </rPr>
      <t xml:space="preserve">비정기 콘텐츠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영상</t>
    </r>
    <r>
      <rPr>
        <sz val="11"/>
        <rFont val="Arial"/>
        <family val="0"/>
        <charset val="1"/>
      </rPr>
      <t xml:space="preserve">) </t>
    </r>
    <r>
      <rPr>
        <sz val="11"/>
        <rFont val="DejaVu Sans"/>
        <family val="2"/>
      </rPr>
      <t xml:space="preserve">견적금액 기준</t>
    </r>
  </si>
  <si>
    <t xml:space="preserve">제작실비</t>
  </si>
  <si>
    <t xml:space="preserve">청구 합계</t>
  </si>
  <si>
    <r>
      <rPr>
        <b val="true"/>
        <sz val="11"/>
        <rFont val="DejaVu Sans"/>
        <family val="2"/>
      </rPr>
      <t xml:space="preserve">월 청구분 합계 </t>
    </r>
    <r>
      <rPr>
        <b val="true"/>
        <sz val="11"/>
        <rFont val="Arial"/>
        <family val="0"/>
        <charset val="1"/>
      </rPr>
      <t xml:space="preserve">(2</t>
    </r>
    <r>
      <rPr>
        <b val="true"/>
        <sz val="11"/>
        <rFont val="DejaVu Sans"/>
        <family val="2"/>
      </rPr>
      <t xml:space="preserve">월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</si>
  <si>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합계 </t>
    </r>
    <r>
      <rPr>
        <sz val="11"/>
        <color theme="1"/>
        <rFont val="Arial"/>
        <family val="0"/>
        <charset val="1"/>
      </rPr>
      <t xml:space="preserve">(₩)</t>
    </r>
  </si>
  <si>
    <r>
      <rPr>
        <b val="true"/>
        <sz val="11"/>
        <color theme="1"/>
        <rFont val="Arial"/>
        <family val="0"/>
        <charset val="1"/>
      </rPr>
      <t xml:space="preserve">26-1</t>
    </r>
    <r>
      <rPr>
        <b val="true"/>
        <sz val="11"/>
        <color theme="1"/>
        <rFont val="DejaVu Sans"/>
        <family val="2"/>
      </rPr>
      <t xml:space="preserve">월 청구분</t>
    </r>
  </si>
  <si>
    <t xml:space="preserve">사전 기획료 및 디자인 비용</t>
  </si>
  <si>
    <r>
      <rPr>
        <sz val="11"/>
        <color theme="1"/>
        <rFont val="DejaVu Sans"/>
        <family val="2"/>
      </rPr>
      <t xml:space="preserve">사전 기획비 </t>
    </r>
    <r>
      <rPr>
        <sz val="11"/>
        <color theme="1"/>
        <rFont val="Arial"/>
        <family val="0"/>
        <charset val="1"/>
      </rPr>
      <t xml:space="preserve">+ </t>
    </r>
    <r>
      <rPr>
        <sz val="11"/>
        <color theme="1"/>
        <rFont val="DejaVu Sans"/>
        <family val="2"/>
      </rPr>
      <t xml:space="preserve">디자인 세팅비로 기존 합의된 금액에 의거하여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회 청구 </t>
    </r>
    <r>
      <rPr>
        <sz val="11"/>
        <color theme="1"/>
        <rFont val="Arial"/>
        <family val="0"/>
        <charset val="1"/>
      </rPr>
      <t xml:space="preserve">(₩2,000,000)</t>
    </r>
  </si>
  <si>
    <r>
      <rPr>
        <sz val="11"/>
        <color theme="1"/>
        <rFont val="Arial"/>
        <family val="0"/>
        <charset val="1"/>
      </rPr>
      <t xml:space="preserve">VAT </t>
    </r>
    <r>
      <rPr>
        <sz val="11"/>
        <color theme="1"/>
        <rFont val="DejaVu Sans"/>
        <family val="2"/>
      </rPr>
      <t xml:space="preserve">별도</t>
    </r>
  </si>
  <si>
    <t xml:space="preserve">정기콘텐츠 제작</t>
  </si>
  <si>
    <r>
      <rPr>
        <sz val="11"/>
        <color theme="1"/>
        <rFont val="DejaVu Sans"/>
        <family val="2"/>
      </rPr>
      <t xml:space="preserve">비정기 콘텐츠 제작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</si>
  <si>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혼돈주</t>
    </r>
    <r>
      <rPr>
        <sz val="11"/>
        <color theme="1"/>
        <rFont val="Arial"/>
        <family val="0"/>
        <charset val="1"/>
      </rPr>
      <t xml:space="preserve">' </t>
    </r>
    <r>
      <rPr>
        <sz val="11"/>
        <color theme="1"/>
        <rFont val="DejaVu Sans"/>
        <family val="2"/>
      </rPr>
      <t xml:space="preserve">콘텐츠 제작 </t>
    </r>
    <r>
      <rPr>
        <sz val="11"/>
        <color theme="1"/>
        <rFont val="Arial"/>
        <family val="0"/>
        <charset val="1"/>
      </rPr>
      <t xml:space="preserve">| </t>
    </r>
    <r>
      <rPr>
        <sz val="11"/>
        <color theme="1"/>
        <rFont val="DejaVu Sans"/>
        <family val="2"/>
      </rPr>
      <t xml:space="preserve">비정기 콘텐츠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견적금액 기준</t>
    </r>
  </si>
  <si>
    <r>
      <rPr>
        <b val="true"/>
        <sz val="11"/>
        <color theme="1"/>
        <rFont val="DejaVu Sans"/>
        <family val="2"/>
      </rPr>
      <t xml:space="preserve">월 청구분 합계 </t>
    </r>
    <r>
      <rPr>
        <b val="true"/>
        <sz val="11"/>
        <color theme="1"/>
        <rFont val="Arial"/>
        <family val="0"/>
        <charset val="1"/>
      </rPr>
      <t xml:space="preserve">(1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</si>
  <si>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theme="1"/>
        <rFont val="Arial"/>
        <family val="0"/>
        <charset val="1"/>
      </rPr>
      <t xml:space="preserve">12</t>
    </r>
    <r>
      <rPr>
        <b val="true"/>
        <sz val="11"/>
        <color theme="1"/>
        <rFont val="DejaVu Sans"/>
        <family val="2"/>
      </rPr>
      <t xml:space="preserve">월 청구분 </t>
    </r>
  </si>
  <si>
    <r>
      <rPr>
        <b val="true"/>
        <sz val="11"/>
        <color theme="1"/>
        <rFont val="DejaVu Sans"/>
        <family val="2"/>
      </rPr>
      <t xml:space="preserve">촬영지원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로케이션 단위로 구분 </t>
    </r>
    <r>
      <rPr>
        <b val="true"/>
        <sz val="11"/>
        <color theme="1"/>
        <rFont val="Arial"/>
        <family val="0"/>
        <charset val="1"/>
      </rPr>
      <t xml:space="preserve">/ </t>
    </r>
    <r>
      <rPr>
        <b val="true"/>
        <sz val="11"/>
        <color theme="1"/>
        <rFont val="DejaVu Sans"/>
        <family val="2"/>
      </rPr>
      <t xml:space="preserve">크후팀 동행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</si>
  <si>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촬영일 상세</t>
    </r>
    <r>
      <rPr>
        <sz val="11"/>
        <color theme="1"/>
        <rFont val="Arial"/>
        <family val="0"/>
        <charset val="1"/>
      </rPr>
      <t xml:space="preserve">
(1) 12/4 with </t>
    </r>
    <r>
      <rPr>
        <sz val="11"/>
        <color theme="1"/>
        <rFont val="DejaVu Sans"/>
        <family val="2"/>
      </rPr>
      <t xml:space="preserve">페스카데리아 팀</t>
    </r>
    <r>
      <rPr>
        <sz val="11"/>
        <color theme="1"/>
        <rFont val="Arial"/>
        <family val="0"/>
        <charset val="1"/>
      </rPr>
      <t xml:space="preserve">(EP23) 
(2) </t>
    </r>
    <r>
      <rPr>
        <sz val="11"/>
        <color theme="1"/>
        <rFont val="DejaVu Sans"/>
        <family val="2"/>
      </rPr>
      <t xml:space="preserve">공간소개 촬영 </t>
    </r>
    <r>
      <rPr>
        <sz val="11"/>
        <color theme="1"/>
        <rFont val="Arial"/>
        <family val="0"/>
        <charset val="1"/>
      </rPr>
      <t xml:space="preserve">with </t>
    </r>
    <r>
      <rPr>
        <sz val="11"/>
        <color theme="1"/>
        <rFont val="DejaVu Sans"/>
        <family val="2"/>
      </rPr>
      <t xml:space="preserve">연정 </t>
    </r>
    <r>
      <rPr>
        <sz val="11"/>
        <color theme="1"/>
        <rFont val="Arial"/>
        <family val="0"/>
        <charset val="1"/>
      </rPr>
      <t xml:space="preserve">(EP24)
12/12(</t>
    </r>
    <r>
      <rPr>
        <sz val="11"/>
        <color theme="1"/>
        <rFont val="DejaVu Sans"/>
        <family val="2"/>
      </rPr>
      <t xml:space="preserve">금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막코위크 오픈데이 </t>
    </r>
    <r>
      <rPr>
        <sz val="11"/>
        <color theme="1"/>
        <rFont val="Arial"/>
        <family val="0"/>
        <charset val="1"/>
      </rPr>
      <t xml:space="preserve">| 3</t>
    </r>
    <r>
      <rPr>
        <sz val="11"/>
        <color theme="1"/>
        <rFont val="DejaVu Sans"/>
        <family val="2"/>
      </rPr>
      <t xml:space="preserve">편 별도 리소스로 진행</t>
    </r>
    <r>
      <rPr>
        <sz val="11"/>
        <color theme="1"/>
        <rFont val="Arial"/>
        <family val="0"/>
        <charset val="1"/>
      </rPr>
      <t xml:space="preserve">
 (3) 12/12-12/13 </t>
    </r>
    <r>
      <rPr>
        <sz val="11"/>
        <color theme="1"/>
        <rFont val="DejaVu Sans"/>
        <family val="2"/>
      </rPr>
      <t xml:space="preserve">스케치 촬영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수현 외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Arial"/>
        <family val="0"/>
        <charset val="1"/>
      </rPr>
      <t xml:space="preserve">)
 (4) </t>
    </r>
    <r>
      <rPr>
        <sz val="11"/>
        <color theme="1"/>
        <rFont val="DejaVu Sans"/>
        <family val="2"/>
      </rPr>
      <t xml:space="preserve">막코위크 </t>
    </r>
    <r>
      <rPr>
        <sz val="11"/>
        <color theme="1"/>
        <rFont val="Arial"/>
        <family val="0"/>
        <charset val="1"/>
      </rPr>
      <t xml:space="preserve">#2 </t>
    </r>
    <r>
      <rPr>
        <sz val="11"/>
        <color theme="1"/>
        <rFont val="DejaVu Sans"/>
        <family val="2"/>
      </rPr>
      <t xml:space="preserve">촬영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우석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수현 외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Arial"/>
        <family val="0"/>
        <charset val="1"/>
      </rPr>
      <t xml:space="preserve">) 
 (5) </t>
    </r>
    <r>
      <rPr>
        <sz val="11"/>
        <color theme="1"/>
        <rFont val="DejaVu Sans"/>
        <family val="2"/>
      </rPr>
      <t xml:space="preserve">막코위크 </t>
    </r>
    <r>
      <rPr>
        <sz val="11"/>
        <color theme="1"/>
        <rFont val="Arial"/>
        <family val="0"/>
        <charset val="1"/>
      </rPr>
      <t xml:space="preserve">#3 </t>
    </r>
    <r>
      <rPr>
        <sz val="11"/>
        <color theme="1"/>
        <rFont val="DejaVu Sans"/>
        <family val="2"/>
      </rPr>
      <t xml:space="preserve">방문객인터뷰 촬영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우석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에디터 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인</t>
    </r>
    <r>
      <rPr>
        <sz val="11"/>
        <color theme="1"/>
        <rFont val="Arial"/>
        <family val="0"/>
        <charset val="1"/>
      </rPr>
      <t xml:space="preserve">)
12/19 (</t>
    </r>
    <r>
      <rPr>
        <sz val="11"/>
        <color theme="1"/>
        <rFont val="DejaVu Sans"/>
        <family val="2"/>
      </rPr>
      <t xml:space="preserve">금</t>
    </r>
    <r>
      <rPr>
        <sz val="11"/>
        <color theme="1"/>
        <rFont val="Arial"/>
        <family val="0"/>
        <charset val="1"/>
      </rPr>
      <t xml:space="preserve">)
(6) After #1 </t>
    </r>
    <r>
      <rPr>
        <sz val="11"/>
        <color theme="1"/>
        <rFont val="DejaVu Sans"/>
        <family val="2"/>
      </rPr>
      <t xml:space="preserve">종료 후 다음행보 촬영</t>
    </r>
  </si>
  <si>
    <r>
      <rPr>
        <b val="true"/>
        <sz val="11"/>
        <color theme="1"/>
        <rFont val="DejaVu Sans"/>
        <family val="2"/>
      </rPr>
      <t xml:space="preserve">시나리오 기획 및 편집비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제작완료 기준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</si>
  <si>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세부 내역 </t>
    </r>
    <r>
      <rPr>
        <sz val="11"/>
        <color theme="1"/>
        <rFont val="Arial"/>
        <family val="0"/>
        <charset val="1"/>
      </rPr>
      <t xml:space="preserve">(1) </t>
    </r>
    <r>
      <rPr>
        <sz val="11"/>
        <color theme="1"/>
        <rFont val="DejaVu Sans"/>
        <family val="2"/>
      </rPr>
      <t xml:space="preserve">시나리오 기획</t>
    </r>
  </si>
  <si>
    <r>
      <rPr>
        <sz val="11"/>
        <color theme="1"/>
        <rFont val="Arial"/>
        <family val="0"/>
        <charset val="1"/>
      </rPr>
      <t xml:space="preserve">Ep.23~25, </t>
    </r>
    <r>
      <rPr>
        <sz val="11"/>
        <color theme="1"/>
        <rFont val="DejaVu Sans"/>
        <family val="2"/>
      </rPr>
      <t xml:space="preserve">워크인 </t>
    </r>
    <r>
      <rPr>
        <sz val="11"/>
        <color theme="1"/>
        <rFont val="Arial"/>
        <family val="0"/>
        <charset val="1"/>
      </rPr>
      <t xml:space="preserve">#1~#4, After #1~#4</t>
    </r>
  </si>
  <si>
    <r>
      <rPr>
        <sz val="11"/>
        <color theme="1"/>
        <rFont val="DejaVu Sans"/>
        <family val="2"/>
      </rPr>
      <t xml:space="preserve">세부 내역 </t>
    </r>
    <r>
      <rPr>
        <sz val="11"/>
        <color theme="1"/>
        <rFont val="Arial"/>
        <family val="0"/>
        <charset val="1"/>
      </rPr>
      <t xml:space="preserve">(2) 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</si>
  <si>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Arial"/>
        <family val="0"/>
        <charset val="1"/>
      </rPr>
      <t xml:space="preserve">EP23~25, </t>
    </r>
    <r>
      <rPr>
        <sz val="11"/>
        <color theme="1"/>
        <rFont val="DejaVu Sans"/>
        <family val="2"/>
      </rPr>
      <t xml:space="preserve">외전</t>
    </r>
    <r>
      <rPr>
        <sz val="11"/>
        <color theme="1"/>
        <rFont val="Arial"/>
        <family val="0"/>
        <charset val="1"/>
      </rPr>
      <t xml:space="preserve">11-12, </t>
    </r>
    <r>
      <rPr>
        <sz val="11"/>
        <color theme="1"/>
        <rFont val="DejaVu Sans"/>
        <family val="2"/>
      </rPr>
      <t xml:space="preserve">워크인 </t>
    </r>
    <r>
      <rPr>
        <sz val="11"/>
        <color theme="1"/>
        <rFont val="Arial"/>
        <family val="0"/>
        <charset val="1"/>
      </rPr>
      <t xml:space="preserve">#1~#4, After #1~#4
* </t>
    </r>
    <r>
      <rPr>
        <sz val="11"/>
        <color theme="1"/>
        <rFont val="DejaVu Sans"/>
        <family val="2"/>
      </rPr>
      <t xml:space="preserve">계약 시 협의한 할인비율에 따라 기본가</t>
    </r>
    <r>
      <rPr>
        <sz val="11"/>
        <color theme="1"/>
        <rFont val="Arial"/>
        <family val="0"/>
        <charset val="1"/>
      </rPr>
      <t xml:space="preserve">(30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기준 </t>
    </r>
    <r>
      <rPr>
        <sz val="11"/>
        <color theme="1"/>
        <rFont val="Arial"/>
        <family val="0"/>
        <charset val="1"/>
      </rPr>
      <t xml:space="preserve">30% </t>
    </r>
    <r>
      <rPr>
        <sz val="11"/>
        <color theme="1"/>
        <rFont val="DejaVu Sans"/>
        <family val="2"/>
      </rPr>
      <t xml:space="preserve">할인 적용</t>
    </r>
  </si>
  <si>
    <r>
      <rPr>
        <sz val="11"/>
        <color rgb="FF0000FF"/>
        <rFont val="Arial"/>
        <family val="0"/>
        <charset val="1"/>
      </rPr>
      <t xml:space="preserve">Figma </t>
    </r>
    <r>
      <rPr>
        <sz val="11"/>
        <color rgb="FF0000FF"/>
        <rFont val="DejaVu Sans"/>
        <family val="2"/>
      </rPr>
      <t xml:space="preserve">월 구독료 ₩</t>
    </r>
    <r>
      <rPr>
        <sz val="11"/>
        <color rgb="FF0000FF"/>
        <rFont val="Arial"/>
        <family val="0"/>
        <charset val="1"/>
      </rPr>
      <t xml:space="preserve">60,267
12/12 </t>
    </r>
    <r>
      <rPr>
        <sz val="11"/>
        <color rgb="FF0000FF"/>
        <rFont val="DejaVu Sans"/>
        <family val="2"/>
      </rPr>
      <t xml:space="preserve">오픈데이 차량이용료 ₩</t>
    </r>
    <r>
      <rPr>
        <sz val="11"/>
        <color rgb="FF0000FF"/>
        <rFont val="Arial"/>
        <family val="0"/>
        <charset val="1"/>
      </rPr>
      <t xml:space="preserve">121,970 
</t>
    </r>
    <r>
      <rPr>
        <sz val="11"/>
        <color rgb="FF0000FF"/>
        <rFont val="DejaVu Sans"/>
        <family val="2"/>
      </rPr>
      <t xml:space="preserve">오픈데이 현장 촬영용 붐마이크</t>
    </r>
    <r>
      <rPr>
        <sz val="11"/>
        <color rgb="FF0000FF"/>
        <rFont val="Arial"/>
        <family val="0"/>
        <charset val="1"/>
      </rPr>
      <t xml:space="preserve">(2x) </t>
    </r>
    <r>
      <rPr>
        <sz val="11"/>
        <color rgb="FF0000FF"/>
        <rFont val="DejaVu Sans"/>
        <family val="2"/>
      </rPr>
      <t xml:space="preserve">대여 ₩</t>
    </r>
    <r>
      <rPr>
        <sz val="11"/>
        <color rgb="FF0000FF"/>
        <rFont val="Arial"/>
        <family val="0"/>
        <charset val="1"/>
      </rPr>
      <t xml:space="preserve">55,100 (</t>
    </r>
    <r>
      <rPr>
        <sz val="11"/>
        <color rgb="FF0000FF"/>
        <rFont val="DejaVu Sans"/>
        <family val="2"/>
      </rPr>
      <t xml:space="preserve">구매가 </t>
    </r>
    <r>
      <rPr>
        <sz val="11"/>
        <color rgb="FF0000FF"/>
        <rFont val="Arial"/>
        <family val="0"/>
        <charset val="1"/>
      </rPr>
      <t xml:space="preserve">10% </t>
    </r>
    <r>
      <rPr>
        <sz val="11"/>
        <color rgb="FF0000FF"/>
        <rFont val="DejaVu Sans"/>
        <family val="2"/>
      </rPr>
      <t xml:space="preserve">기준</t>
    </r>
    <r>
      <rPr>
        <sz val="11"/>
        <color rgb="FF0000FF"/>
        <rFont val="Arial"/>
        <family val="0"/>
        <charset val="1"/>
      </rPr>
      <t xml:space="preserve">)
*</t>
    </r>
    <r>
      <rPr>
        <sz val="11"/>
        <color rgb="FF0000FF"/>
        <rFont val="DejaVu Sans"/>
        <family val="2"/>
      </rPr>
      <t xml:space="preserve">촬영 및 제작에 사용한 카드사용내역분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DejaVu Sans"/>
        <family val="2"/>
      </rPr>
      <t xml:space="preserve">내역 상세 </t>
    </r>
    <r>
      <rPr>
        <sz val="11"/>
        <color rgb="FF0000FF"/>
        <rFont val="Arial"/>
        <family val="0"/>
        <charset val="1"/>
      </rPr>
      <t xml:space="preserve">PPT</t>
    </r>
    <r>
      <rPr>
        <sz val="11"/>
        <color rgb="FF0000FF"/>
        <rFont val="DejaVu Sans"/>
        <family val="2"/>
      </rPr>
      <t xml:space="preserve">로 별도 전달</t>
    </r>
    <r>
      <rPr>
        <sz val="11"/>
        <color rgb="FF0000FF"/>
        <rFont val="Arial"/>
        <family val="0"/>
        <charset val="1"/>
      </rPr>
      <t xml:space="preserve">)</t>
    </r>
  </si>
  <si>
    <r>
      <rPr>
        <b val="true"/>
        <sz val="11"/>
        <color theme="1"/>
        <rFont val="DejaVu Sans"/>
        <family val="2"/>
      </rPr>
      <t xml:space="preserve">월 청구분 합계 </t>
    </r>
    <r>
      <rPr>
        <b val="true"/>
        <sz val="11"/>
        <color theme="1"/>
        <rFont val="Arial"/>
        <family val="0"/>
        <charset val="1"/>
      </rPr>
      <t xml:space="preserve">(12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)</t>
    </r>
  </si>
  <si>
    <t xml:space="preserve">촬영단위 재정의</t>
  </si>
  <si>
    <r>
      <rPr>
        <sz val="11"/>
        <color theme="1"/>
        <rFont val="DejaVu Sans"/>
        <family val="2"/>
      </rPr>
      <t xml:space="preserve">하루에 촬영하더라도 콘셉트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DejaVu Sans"/>
        <family val="2"/>
      </rPr>
      <t xml:space="preserve">로케이션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DejaVu Sans"/>
        <family val="2"/>
      </rPr>
      <t xml:space="preserve">구성이 달라지는 세그먼트는 별도 촬영단위로 간주합니다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DejaVu Sans"/>
        <family val="2"/>
      </rPr>
      <t xml:space="preserve">따라서 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DejaVu Sans"/>
        <family val="2"/>
      </rPr>
      <t xml:space="preserve">월 촬영에는 촬영일 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DejaVu Sans"/>
        <family val="2"/>
      </rPr>
      <t xml:space="preserve">일이 아닌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촬영로케이션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구성이 달라지는 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DejaVu Sans"/>
        <family val="2"/>
      </rPr>
      <t xml:space="preserve">회 촬영으로 적용합니다</t>
    </r>
    <r>
      <rPr>
        <sz val="11"/>
        <color theme="1"/>
        <rFont val="Arial"/>
        <family val="0"/>
        <charset val="1"/>
      </rPr>
      <t xml:space="preserve">. 
</t>
    </r>
    <r>
      <rPr>
        <sz val="11"/>
        <color theme="1"/>
        <rFont val="DejaVu Sans"/>
        <family val="2"/>
      </rPr>
      <t xml:space="preserve">이 방식은 기획 유동성과 세팅 전환 리소스를 가능한 명확하게 반영하고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기존 합의된 편당 구조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선반영 효율화 할인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DejaVu Sans"/>
        <family val="2"/>
      </rPr>
      <t xml:space="preserve">를 유지하는 안입니다</t>
    </r>
    <r>
      <rPr>
        <sz val="11"/>
        <color theme="1"/>
        <rFont val="Arial"/>
        <family val="0"/>
        <charset val="1"/>
      </rPr>
      <t xml:space="preserve">.</t>
    </r>
  </si>
  <si>
    <r>
      <rPr>
        <b val="true"/>
        <sz val="11"/>
        <color theme="1"/>
        <rFont val="Arial"/>
        <family val="0"/>
        <charset val="1"/>
      </rPr>
      <t xml:space="preserve">[</t>
    </r>
    <r>
      <rPr>
        <b val="true"/>
        <sz val="11"/>
        <color theme="1"/>
        <rFont val="DejaVu Sans"/>
        <family val="2"/>
      </rPr>
      <t xml:space="preserve">편집</t>
    </r>
    <r>
      <rPr>
        <b val="true"/>
        <sz val="11"/>
        <color theme="1"/>
        <rFont val="Arial"/>
        <family val="0"/>
        <charset val="1"/>
      </rPr>
      <t xml:space="preserve">] </t>
    </r>
    <r>
      <rPr>
        <b val="true"/>
        <sz val="11"/>
        <color theme="1"/>
        <rFont val="DejaVu Sans"/>
        <family val="2"/>
      </rPr>
      <t xml:space="preserve">비용 산정 기준 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아래 상세에 기획</t>
    </r>
    <r>
      <rPr>
        <b val="true"/>
        <sz val="11"/>
        <color theme="1"/>
        <rFont val="Arial"/>
        <family val="0"/>
        <charset val="1"/>
      </rPr>
      <t xml:space="preserve">/</t>
    </r>
    <r>
      <rPr>
        <b val="true"/>
        <sz val="11"/>
        <color theme="1"/>
        <rFont val="DejaVu Sans"/>
        <family val="2"/>
      </rPr>
      <t xml:space="preserve">편집으로 표기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</si>
  <si>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해당 월에 산정되는 편집 산출물 기준은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DejaVu Sans"/>
        <family val="2"/>
      </rPr>
      <t xml:space="preserve">제작완료</t>
    </r>
    <r>
      <rPr>
        <sz val="11"/>
        <color theme="1"/>
        <rFont val="Arial"/>
        <family val="0"/>
        <charset val="1"/>
      </rPr>
      <t xml:space="preserve">' </t>
    </r>
    <r>
      <rPr>
        <sz val="11"/>
        <color theme="1"/>
        <rFont val="DejaVu Sans"/>
        <family val="2"/>
      </rPr>
      <t xml:space="preserve">기준에 따르며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추후 수정은 제작완료 및 비용 반영 이후에도 업로드되기 전까지 자유롭게 진행한다</t>
    </r>
    <r>
      <rPr>
        <sz val="11"/>
        <color theme="1"/>
        <rFont val="Arial"/>
        <family val="0"/>
        <charset val="1"/>
      </rPr>
      <t xml:space="preserve">.</t>
    </r>
  </si>
  <si>
    <r>
      <rPr>
        <b val="true"/>
        <sz val="11"/>
        <color theme="1"/>
        <rFont val="Arial"/>
        <family val="0"/>
        <charset val="1"/>
      </rPr>
      <t xml:space="preserve">[</t>
    </r>
    <r>
      <rPr>
        <b val="true"/>
        <sz val="11"/>
        <color theme="1"/>
        <rFont val="DejaVu Sans"/>
        <family val="2"/>
      </rPr>
      <t xml:space="preserve">시나리오 기획</t>
    </r>
    <r>
      <rPr>
        <b val="true"/>
        <sz val="11"/>
        <color theme="1"/>
        <rFont val="Arial"/>
        <family val="0"/>
        <charset val="1"/>
      </rPr>
      <t xml:space="preserve">] </t>
    </r>
    <r>
      <rPr>
        <b val="true"/>
        <sz val="11"/>
        <color theme="1"/>
        <rFont val="DejaVu Sans"/>
        <family val="2"/>
      </rPr>
      <t xml:space="preserve">비용 산정 기준</t>
    </r>
  </si>
  <si>
    <r>
      <rPr>
        <sz val="11"/>
        <color theme="1"/>
        <rFont val="DejaVu Sans"/>
        <family val="2"/>
      </rPr>
      <t xml:space="preserve">사전제작 이후부터는 기획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DejaVu Sans"/>
        <family val="2"/>
      </rPr>
      <t xml:space="preserve">촬영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DejaVu Sans"/>
        <family val="2"/>
      </rPr>
      <t xml:space="preserve">편집에 타임라인 상 간극이 발생하므로 아래와 같이 반영</t>
    </r>
    <r>
      <rPr>
        <sz val="11"/>
        <color theme="1"/>
        <rFont val="Arial"/>
        <family val="0"/>
        <charset val="1"/>
      </rPr>
      <t xml:space="preserve">
- </t>
    </r>
    <r>
      <rPr>
        <sz val="11"/>
        <color theme="1"/>
        <rFont val="DejaVu Sans"/>
        <family val="2"/>
      </rPr>
      <t xml:space="preserve">편집과정을 거쳐 제작완료된 경우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수정여부와는 무관</t>
    </r>
    <r>
      <rPr>
        <sz val="11"/>
        <color theme="1"/>
        <rFont val="Arial"/>
        <family val="0"/>
        <charset val="1"/>
      </rPr>
      <t xml:space="preserve">),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편집으로 표기하고 시나리오 기획 및 편집비까지 반영된 비용으로 반영</t>
    </r>
    <r>
      <rPr>
        <sz val="11"/>
        <color theme="1"/>
        <rFont val="Arial"/>
        <family val="0"/>
        <charset val="1"/>
      </rPr>
      <t xml:space="preserve">
- </t>
    </r>
    <r>
      <rPr>
        <sz val="11"/>
        <color theme="1"/>
        <rFont val="DejaVu Sans"/>
        <family val="2"/>
      </rPr>
      <t xml:space="preserve">기획되어 촬영까지 진행되었으나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해당 월에 편집산출물이 나오지 않은 상태는 기획으로 표기하고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시나리오기획비만 추가 반영</t>
    </r>
  </si>
  <si>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참고</t>
    </r>
    <r>
      <rPr>
        <b val="true"/>
        <sz val="11"/>
        <color theme="1"/>
        <rFont val="Arial"/>
        <family val="0"/>
        <charset val="1"/>
      </rPr>
      <t xml:space="preserve">) </t>
    </r>
    <r>
      <rPr>
        <b val="true"/>
        <sz val="11"/>
        <color theme="1"/>
        <rFont val="DejaVu Sans"/>
        <family val="2"/>
      </rPr>
      <t xml:space="preserve">누적 반영분 상세</t>
    </r>
  </si>
  <si>
    <r>
      <rPr>
        <b val="true"/>
        <sz val="11"/>
        <color theme="1"/>
        <rFont val="Arial"/>
        <family val="0"/>
        <charset val="1"/>
      </rPr>
      <t xml:space="preserve">2025.08/09 </t>
    </r>
    <r>
      <rPr>
        <b val="true"/>
        <sz val="11"/>
        <color theme="1"/>
        <rFont val="DejaVu Sans"/>
        <family val="2"/>
      </rPr>
      <t xml:space="preserve">반영분</t>
    </r>
  </si>
  <si>
    <r>
      <rPr>
        <sz val="11"/>
        <color theme="1"/>
        <rFont val="DejaVu Sans"/>
        <family val="2"/>
      </rPr>
      <t xml:space="preserve">수정된 </t>
    </r>
    <r>
      <rPr>
        <sz val="11"/>
        <color theme="1"/>
        <rFont val="Arial"/>
        <family val="0"/>
        <charset val="1"/>
      </rPr>
      <t xml:space="preserve">EP </t>
    </r>
    <r>
      <rPr>
        <sz val="11"/>
        <color theme="1"/>
        <rFont val="DejaVu Sans"/>
        <family val="2"/>
      </rPr>
      <t xml:space="preserve">기준 </t>
    </r>
    <r>
      <rPr>
        <sz val="11"/>
        <color theme="1"/>
        <rFont val="Arial"/>
        <family val="0"/>
        <charset val="1"/>
      </rPr>
      <t xml:space="preserve">EP1~10, </t>
    </r>
    <r>
      <rPr>
        <sz val="11"/>
        <color theme="1"/>
        <rFont val="DejaVu Sans"/>
        <family val="2"/>
      </rPr>
      <t xml:space="preserve">외전 </t>
    </r>
    <r>
      <rPr>
        <sz val="11"/>
        <color theme="1"/>
        <rFont val="Arial"/>
        <family val="0"/>
        <charset val="1"/>
      </rPr>
      <t xml:space="preserve">1~3</t>
    </r>
  </si>
  <si>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</t>
    </r>
  </si>
  <si>
    <r>
      <rPr>
        <sz val="11"/>
        <color theme="1"/>
        <rFont val="Arial"/>
        <family val="0"/>
        <charset val="1"/>
      </rPr>
      <t xml:space="preserve">-. </t>
    </r>
    <r>
      <rPr>
        <sz val="11"/>
        <color theme="1"/>
        <rFont val="DejaVu Sans"/>
        <family val="2"/>
      </rPr>
      <t xml:space="preserve">국순당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크후 </t>
    </r>
    <r>
      <rPr>
        <sz val="11"/>
        <color theme="1"/>
        <rFont val="Arial"/>
        <family val="0"/>
        <charset val="1"/>
      </rPr>
      <t xml:space="preserve">: 9/16(KT&amp;</t>
    </r>
    <r>
      <rPr>
        <sz val="11"/>
        <color theme="1"/>
        <rFont val="DejaVu Sans"/>
        <family val="2"/>
      </rPr>
      <t xml:space="preserve">엘몰리노</t>
    </r>
    <r>
      <rPr>
        <sz val="11"/>
        <color theme="1"/>
        <rFont val="Arial"/>
        <family val="0"/>
        <charset val="1"/>
      </rPr>
      <t xml:space="preserve">), 9/17(KT&amp;</t>
    </r>
    <r>
      <rPr>
        <sz val="11"/>
        <color theme="1"/>
        <rFont val="DejaVu Sans"/>
        <family val="2"/>
      </rPr>
      <t xml:space="preserve">라까예</t>
    </r>
    <r>
      <rPr>
        <sz val="11"/>
        <color theme="1"/>
        <rFont val="Arial"/>
        <family val="0"/>
        <charset val="1"/>
      </rPr>
      <t xml:space="preserve">), 9/22(KT&amp;</t>
    </r>
    <r>
      <rPr>
        <sz val="11"/>
        <color theme="1"/>
        <rFont val="DejaVu Sans"/>
        <family val="2"/>
      </rPr>
      <t xml:space="preserve">샥슈카</t>
    </r>
    <r>
      <rPr>
        <sz val="11"/>
        <color theme="1"/>
        <rFont val="Arial"/>
        <family val="0"/>
        <charset val="1"/>
      </rPr>
      <t xml:space="preserve">), 9/30(</t>
    </r>
    <r>
      <rPr>
        <sz val="11"/>
        <color theme="1"/>
        <rFont val="DejaVu Sans"/>
        <family val="2"/>
      </rPr>
      <t xml:space="preserve">용용선생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크리스피포크타운</t>
    </r>
    <r>
      <rPr>
        <sz val="11"/>
        <color theme="1"/>
        <rFont val="Arial"/>
        <family val="0"/>
        <charset val="1"/>
      </rPr>
      <t xml:space="preserve">)
-. </t>
    </r>
    <r>
      <rPr>
        <sz val="11"/>
        <color theme="1"/>
        <rFont val="DejaVu Sans"/>
        <family val="2"/>
      </rPr>
      <t xml:space="preserve">크후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에디터 </t>
    </r>
    <r>
      <rPr>
        <sz val="11"/>
        <color theme="1"/>
        <rFont val="Arial"/>
        <family val="0"/>
        <charset val="1"/>
      </rPr>
      <t xml:space="preserve">: 9/26(</t>
    </r>
    <r>
      <rPr>
        <sz val="11"/>
        <color theme="1"/>
        <rFont val="DejaVu Sans"/>
        <family val="2"/>
      </rPr>
      <t xml:space="preserve">길거리인터뷰</t>
    </r>
    <r>
      <rPr>
        <sz val="11"/>
        <color theme="1"/>
        <rFont val="Arial"/>
        <family val="0"/>
        <charset val="1"/>
      </rPr>
      <t xml:space="preserve">,</t>
    </r>
    <r>
      <rPr>
        <sz val="11"/>
        <color theme="1"/>
        <rFont val="DejaVu Sans"/>
        <family val="2"/>
      </rPr>
      <t xml:space="preserve">건대</t>
    </r>
    <r>
      <rPr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</si>
  <si>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theme="1"/>
        <rFont val="Arial"/>
        <family val="0"/>
        <charset val="1"/>
      </rPr>
      <t xml:space="preserve">2025.10 </t>
    </r>
    <r>
      <rPr>
        <b val="true"/>
        <sz val="11"/>
        <color theme="1"/>
        <rFont val="DejaVu Sans"/>
        <family val="2"/>
      </rPr>
      <t xml:space="preserve">반영분</t>
    </r>
  </si>
  <si>
    <r>
      <rPr>
        <sz val="11"/>
        <color theme="1"/>
        <rFont val="DejaVu Sans"/>
        <family val="2"/>
      </rPr>
      <t xml:space="preserve">외전</t>
    </r>
    <r>
      <rPr>
        <sz val="11"/>
        <color theme="1"/>
        <rFont val="Arial"/>
        <family val="0"/>
        <charset val="1"/>
      </rPr>
      <t xml:space="preserve">4~5(</t>
    </r>
    <r>
      <rPr>
        <sz val="11"/>
        <color theme="1"/>
        <rFont val="DejaVu Sans"/>
        <family val="2"/>
      </rPr>
      <t xml:space="preserve">떡볶이 페스티벌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</si>
  <si>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EP11~12 / </t>
    </r>
    <r>
      <rPr>
        <sz val="11"/>
        <color theme="1"/>
        <rFont val="DejaVu Sans"/>
        <family val="2"/>
      </rPr>
      <t xml:space="preserve">외전 </t>
    </r>
    <r>
      <rPr>
        <sz val="11"/>
        <color theme="1"/>
        <rFont val="Arial"/>
        <family val="0"/>
        <charset val="1"/>
      </rPr>
      <t xml:space="preserve">6~7</t>
    </r>
  </si>
  <si>
    <t xml:space="preserve">로이킴 바이럴</t>
  </si>
  <si>
    <r>
      <rPr>
        <sz val="11"/>
        <color theme="1"/>
        <rFont val="Arial"/>
        <family val="0"/>
        <charset val="1"/>
      </rPr>
      <t xml:space="preserve"> - 10/16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(1)
 - 10/21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별도 로이킴 당일 촬영 </t>
    </r>
    <r>
      <rPr>
        <sz val="11"/>
        <color theme="1"/>
        <rFont val="Arial"/>
        <family val="0"/>
        <charset val="1"/>
      </rPr>
      <t xml:space="preserve">(2)
 - 10/28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(1) 
 - 10/29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페스카데리아 </t>
    </r>
    <r>
      <rPr>
        <sz val="11"/>
        <color theme="1"/>
        <rFont val="Arial"/>
        <family val="0"/>
        <charset val="1"/>
      </rPr>
      <t xml:space="preserve">(2)</t>
    </r>
  </si>
  <si>
    <r>
      <rPr>
        <sz val="11"/>
        <color theme="1"/>
        <rFont val="Arial"/>
        <family val="0"/>
        <charset val="1"/>
      </rPr>
      <t xml:space="preserve">EP13~20, </t>
    </r>
    <r>
      <rPr>
        <sz val="11"/>
        <color theme="1"/>
        <rFont val="DejaVu Sans"/>
        <family val="2"/>
      </rPr>
      <t xml:space="preserve">외전 </t>
    </r>
    <r>
      <rPr>
        <sz val="11"/>
        <color theme="1"/>
        <rFont val="Arial"/>
        <family val="0"/>
        <charset val="1"/>
      </rPr>
      <t xml:space="preserve">8</t>
    </r>
  </si>
  <si>
    <r>
      <rPr>
        <b val="true"/>
        <sz val="11"/>
        <color theme="1"/>
        <rFont val="Arial"/>
        <family val="0"/>
        <charset val="1"/>
      </rPr>
      <t xml:space="preserve">2025.11 </t>
    </r>
    <r>
      <rPr>
        <b val="true"/>
        <sz val="11"/>
        <color theme="1"/>
        <rFont val="DejaVu Sans"/>
        <family val="2"/>
      </rPr>
      <t xml:space="preserve">반영분</t>
    </r>
  </si>
  <si>
    <r>
      <rPr>
        <sz val="11"/>
        <color theme="1"/>
        <rFont val="DejaVu Sans"/>
        <family val="2"/>
      </rPr>
      <t xml:space="preserve">외전</t>
    </r>
    <r>
      <rPr>
        <sz val="11"/>
        <color theme="1"/>
        <rFont val="Arial"/>
        <family val="0"/>
        <charset val="1"/>
      </rPr>
      <t xml:space="preserve">7-12, </t>
    </r>
    <r>
      <rPr>
        <sz val="11"/>
        <color theme="1"/>
        <rFont val="DejaVu Sans"/>
        <family val="2"/>
      </rPr>
      <t xml:space="preserve">제외분</t>
    </r>
    <r>
      <rPr>
        <sz val="11"/>
        <color theme="1"/>
        <rFont val="Arial"/>
        <family val="0"/>
        <charset val="1"/>
      </rPr>
      <t xml:space="preserve">, Ep. 21~22</t>
    </r>
  </si>
  <si>
    <t xml:space="preserve">편집</t>
  </si>
  <si>
    <r>
      <rPr>
        <sz val="11"/>
        <color theme="1"/>
        <rFont val="Arial"/>
        <family val="0"/>
        <charset val="1"/>
      </rPr>
      <t xml:space="preserve">EP13~EP22, </t>
    </r>
    <r>
      <rPr>
        <sz val="11"/>
        <color theme="1"/>
        <rFont val="DejaVu Sans"/>
        <family val="2"/>
      </rPr>
      <t xml:space="preserve">외전</t>
    </r>
    <r>
      <rPr>
        <sz val="11"/>
        <color theme="1"/>
        <rFont val="Arial"/>
        <family val="0"/>
        <charset val="1"/>
      </rPr>
      <t xml:space="preserve">7-10, </t>
    </r>
    <r>
      <rPr>
        <sz val="11"/>
        <color theme="1"/>
        <rFont val="DejaVu Sans"/>
        <family val="2"/>
      </rPr>
      <t xml:space="preserve">제외분</t>
    </r>
    <r>
      <rPr>
        <sz val="11"/>
        <color theme="1"/>
        <rFont val="Arial"/>
        <family val="0"/>
        <charset val="1"/>
      </rPr>
      <t xml:space="preserve">
*1 (</t>
    </r>
    <r>
      <rPr>
        <sz val="11"/>
        <color theme="1"/>
        <rFont val="DejaVu Sans"/>
        <family val="2"/>
      </rPr>
      <t xml:space="preserve">외전</t>
    </r>
    <r>
      <rPr>
        <sz val="11"/>
        <color theme="1"/>
        <rFont val="Arial"/>
        <family val="0"/>
        <charset val="1"/>
      </rPr>
      <t xml:space="preserve">7) 10</t>
    </r>
    <r>
      <rPr>
        <sz val="11"/>
        <color theme="1"/>
        <rFont val="DejaVu Sans"/>
        <family val="2"/>
      </rPr>
      <t xml:space="preserve">월 반영된 외전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DejaVu Sans"/>
        <family val="2"/>
      </rPr>
      <t xml:space="preserve">이 </t>
    </r>
    <r>
      <rPr>
        <sz val="11"/>
        <color theme="1"/>
        <rFont val="Arial"/>
        <family val="0"/>
        <charset val="1"/>
      </rPr>
      <t xml:space="preserve">EP15</t>
    </r>
    <r>
      <rPr>
        <sz val="11"/>
        <color theme="1"/>
        <rFont val="DejaVu Sans"/>
        <family val="2"/>
      </rPr>
      <t xml:space="preserve">로 변경됨에 따라 기존 외전</t>
    </r>
    <r>
      <rPr>
        <sz val="11"/>
        <color theme="1"/>
        <rFont val="Arial"/>
        <family val="0"/>
        <charset val="1"/>
      </rPr>
      <t xml:space="preserve">8</t>
    </r>
    <r>
      <rPr>
        <sz val="11"/>
        <color theme="1"/>
        <rFont val="DejaVu Sans"/>
        <family val="2"/>
      </rPr>
      <t xml:space="preserve">부터 번호가 하나씩 </t>
    </r>
    <r>
      <rPr>
        <sz val="11"/>
        <color theme="1"/>
        <rFont val="Arial"/>
        <family val="0"/>
        <charset val="1"/>
      </rPr>
      <t xml:space="preserve">-1 </t>
    </r>
    <r>
      <rPr>
        <sz val="11"/>
        <color theme="1"/>
        <rFont val="DejaVu Sans"/>
        <family val="2"/>
      </rPr>
      <t xml:space="preserve">이동</t>
    </r>
    <r>
      <rPr>
        <sz val="11"/>
        <color theme="1"/>
        <rFont val="Arial"/>
        <family val="0"/>
        <charset val="1"/>
      </rPr>
      <t xml:space="preserve">
*2 ((</t>
    </r>
    <r>
      <rPr>
        <sz val="11"/>
        <color theme="1"/>
        <rFont val="DejaVu Sans"/>
        <family val="2"/>
      </rPr>
      <t xml:space="preserve">제외</t>
    </r>
    <r>
      <rPr>
        <sz val="11"/>
        <color theme="1"/>
        <rFont val="Arial"/>
        <family val="0"/>
        <charset val="1"/>
      </rPr>
      <t xml:space="preserve">) | </t>
    </r>
    <r>
      <rPr>
        <sz val="11"/>
        <color theme="1"/>
        <rFont val="DejaVu Sans"/>
        <family val="2"/>
      </rPr>
      <t xml:space="preserve">진행상황과 현재까지의 소감</t>
    </r>
    <r>
      <rPr>
        <sz val="11"/>
        <color theme="1"/>
        <rFont val="Arial"/>
        <family val="0"/>
        <charset val="1"/>
      </rPr>
      <t xml:space="preserve">) | </t>
    </r>
    <r>
      <rPr>
        <sz val="11"/>
        <color theme="1"/>
        <rFont val="DejaVu Sans"/>
        <family val="2"/>
      </rPr>
      <t xml:space="preserve">편집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제작완료되었으나 업로드 시 드랍처리됨</t>
    </r>
    <r>
      <rPr>
        <sz val="11"/>
        <color theme="1"/>
        <rFont val="Arial"/>
        <family val="0"/>
        <charset val="1"/>
      </rPr>
      <t xml:space="preserve">
* </t>
    </r>
    <r>
      <rPr>
        <sz val="11"/>
        <color theme="1"/>
        <rFont val="DejaVu Sans"/>
        <family val="2"/>
      </rPr>
      <t xml:space="preserve">계약 시 협의한 할인비율에 따라 기본가</t>
    </r>
    <r>
      <rPr>
        <sz val="11"/>
        <color theme="1"/>
        <rFont val="Arial"/>
        <family val="0"/>
        <charset val="1"/>
      </rPr>
      <t xml:space="preserve">(30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기준 </t>
    </r>
    <r>
      <rPr>
        <sz val="11"/>
        <color theme="1"/>
        <rFont val="Arial"/>
        <family val="0"/>
        <charset val="1"/>
      </rPr>
      <t xml:space="preserve">30% </t>
    </r>
    <r>
      <rPr>
        <sz val="11"/>
        <color theme="1"/>
        <rFont val="DejaVu Sans"/>
        <family val="2"/>
      </rPr>
      <t xml:space="preserve">할인 적용</t>
    </r>
  </si>
  <si>
    <r>
      <rPr>
        <b val="true"/>
        <sz val="11"/>
        <color theme="1"/>
        <rFont val="Arial"/>
        <family val="0"/>
        <charset val="1"/>
      </rPr>
      <t xml:space="preserve">11</t>
    </r>
    <r>
      <rPr>
        <b val="true"/>
        <sz val="11"/>
        <color theme="1"/>
        <rFont val="DejaVu Sans"/>
        <family val="2"/>
      </rPr>
      <t xml:space="preserve">월 청구분 </t>
    </r>
  </si>
  <si>
    <r>
      <rPr>
        <sz val="11"/>
        <color theme="1"/>
        <rFont val="DejaVu Sans"/>
        <family val="2"/>
      </rPr>
      <t xml:space="preserve">촬영일 상세</t>
    </r>
    <r>
      <rPr>
        <sz val="11"/>
        <color theme="1"/>
        <rFont val="Arial"/>
        <family val="0"/>
        <charset val="1"/>
      </rPr>
      <t xml:space="preserve">
 - 11/18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(1)
 - 11/20 </t>
    </r>
    <r>
      <rPr>
        <sz val="11"/>
        <color theme="1"/>
        <rFont val="DejaVu Sans"/>
        <family val="2"/>
      </rPr>
      <t xml:space="preserve">페스카데리아 인터뷰 </t>
    </r>
    <r>
      <rPr>
        <sz val="11"/>
        <color theme="1"/>
        <rFont val="Arial"/>
        <family val="0"/>
        <charset val="1"/>
      </rPr>
      <t xml:space="preserve">(1)
 - 11/21 </t>
    </r>
    <r>
      <rPr>
        <sz val="11"/>
        <color theme="1"/>
        <rFont val="DejaVu Sans"/>
        <family val="2"/>
      </rPr>
      <t xml:space="preserve">대표님 촬영</t>
    </r>
    <r>
      <rPr>
        <sz val="11"/>
        <color theme="1"/>
        <rFont val="Arial"/>
        <family val="0"/>
        <charset val="1"/>
      </rPr>
      <t xml:space="preserve">
 - 11/26 </t>
    </r>
    <r>
      <rPr>
        <sz val="11"/>
        <color theme="1"/>
        <rFont val="DejaVu Sans"/>
        <family val="2"/>
      </rPr>
      <t xml:space="preserve">경동시장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대학교 </t>
    </r>
    <r>
      <rPr>
        <sz val="11"/>
        <color theme="1"/>
        <rFont val="Arial"/>
        <family val="0"/>
        <charset val="1"/>
      </rPr>
      <t xml:space="preserve">(2)</t>
    </r>
  </si>
  <si>
    <r>
      <rPr>
        <sz val="11"/>
        <color rgb="FF0000FF"/>
        <rFont val="Arial"/>
        <family val="0"/>
        <charset val="1"/>
      </rPr>
      <t xml:space="preserve">Figma </t>
    </r>
    <r>
      <rPr>
        <sz val="11"/>
        <color rgb="FF0000FF"/>
        <rFont val="DejaVu Sans"/>
        <family val="2"/>
      </rPr>
      <t xml:space="preserve">월 구독료 ₩</t>
    </r>
    <r>
      <rPr>
        <sz val="11"/>
        <color rgb="FF0000FF"/>
        <rFont val="Arial"/>
        <family val="0"/>
        <charset val="1"/>
      </rPr>
      <t xml:space="preserve">59,517
SSD </t>
    </r>
    <r>
      <rPr>
        <sz val="11"/>
        <color rgb="FF0000FF"/>
        <rFont val="DejaVu Sans"/>
        <family val="2"/>
      </rPr>
      <t xml:space="preserve">허브 </t>
    </r>
    <r>
      <rPr>
        <sz val="11"/>
        <color rgb="FF0000FF"/>
        <rFont val="Arial"/>
        <family val="0"/>
        <charset val="1"/>
      </rPr>
      <t xml:space="preserve">+ M.2 SSD </t>
    </r>
    <r>
      <rPr>
        <sz val="11"/>
        <color rgb="FF0000FF"/>
        <rFont val="DejaVu Sans"/>
        <family val="2"/>
      </rPr>
      <t xml:space="preserve">구매 ₩</t>
    </r>
    <r>
      <rPr>
        <sz val="11"/>
        <color rgb="FF0000FF"/>
        <rFont val="Arial"/>
        <family val="0"/>
        <charset val="1"/>
      </rPr>
      <t xml:space="preserve">159106+₩151,000 = ₩310,106
AI </t>
    </r>
    <r>
      <rPr>
        <sz val="11"/>
        <color rgb="FF0000FF"/>
        <rFont val="DejaVu Sans"/>
        <family val="2"/>
      </rPr>
      <t xml:space="preserve">활용 </t>
    </r>
    <r>
      <rPr>
        <sz val="11"/>
        <color rgb="FF0000FF"/>
        <rFont val="Arial"/>
        <family val="0"/>
        <charset val="1"/>
      </rPr>
      <t xml:space="preserve">Higgsfield </t>
    </r>
    <r>
      <rPr>
        <sz val="11"/>
        <color rgb="FF0000FF"/>
        <rFont val="DejaVu Sans"/>
        <family val="2"/>
      </rPr>
      <t xml:space="preserve">이용권 구매 ₩</t>
    </r>
    <r>
      <rPr>
        <sz val="11"/>
        <color rgb="FF0000FF"/>
        <rFont val="Arial"/>
        <family val="0"/>
        <charset val="1"/>
      </rPr>
      <t xml:space="preserve">435,077 
*</t>
    </r>
    <r>
      <rPr>
        <sz val="11"/>
        <color rgb="FF0000FF"/>
        <rFont val="DejaVu Sans"/>
        <family val="2"/>
      </rPr>
      <t xml:space="preserve">촬영 및 제작에 사용한 카드사용내역분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DejaVu Sans"/>
        <family val="2"/>
      </rPr>
      <t xml:space="preserve">내역 상세 </t>
    </r>
    <r>
      <rPr>
        <sz val="11"/>
        <color rgb="FF0000FF"/>
        <rFont val="Arial"/>
        <family val="0"/>
        <charset val="1"/>
      </rPr>
      <t xml:space="preserve">PPT</t>
    </r>
    <r>
      <rPr>
        <sz val="11"/>
        <color rgb="FF0000FF"/>
        <rFont val="DejaVu Sans"/>
        <family val="2"/>
      </rPr>
      <t xml:space="preserve">로 별도 전달</t>
    </r>
    <r>
      <rPr>
        <sz val="11"/>
        <color rgb="FF0000FF"/>
        <rFont val="Arial"/>
        <family val="0"/>
        <charset val="1"/>
      </rPr>
      <t xml:space="preserve">)</t>
    </r>
  </si>
  <si>
    <r>
      <rPr>
        <b val="true"/>
        <sz val="11"/>
        <color theme="1"/>
        <rFont val="DejaVu Sans"/>
        <family val="2"/>
      </rPr>
      <t xml:space="preserve">월 청구분 합계 </t>
    </r>
    <r>
      <rPr>
        <b val="true"/>
        <sz val="11"/>
        <color theme="1"/>
        <rFont val="Arial"/>
        <family val="0"/>
        <charset val="1"/>
      </rPr>
      <t xml:space="preserve">(11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</si>
  <si>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theme="1"/>
        <rFont val="Arial"/>
        <family val="0"/>
        <charset val="1"/>
      </rPr>
      <t xml:space="preserve">10</t>
    </r>
    <r>
      <rPr>
        <b val="true"/>
        <sz val="11"/>
        <color theme="1"/>
        <rFont val="DejaVu Sans"/>
        <family val="2"/>
      </rPr>
      <t xml:space="preserve">월 청구분 </t>
    </r>
  </si>
  <si>
    <r>
      <rPr>
        <sz val="11"/>
        <color theme="1"/>
        <rFont val="DejaVu Sans"/>
        <family val="2"/>
      </rPr>
      <t xml:space="preserve">촬영일 상세
 - 10/16 실내 </t>
    </r>
    <r>
      <rPr>
        <sz val="11"/>
        <color theme="1"/>
        <rFont val="Arial"/>
        <family val="0"/>
        <charset val="1"/>
      </rPr>
      <t xml:space="preserve">(1)
 - 10/21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별도 로이킴바이럴 당일 촬영 </t>
    </r>
    <r>
      <rPr>
        <sz val="11"/>
        <color theme="1"/>
        <rFont val="Arial"/>
        <family val="0"/>
        <charset val="1"/>
      </rPr>
      <t xml:space="preserve">(2)
 - 10/28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(1) 
 - 10/29 </t>
    </r>
    <r>
      <rPr>
        <sz val="11"/>
        <color theme="1"/>
        <rFont val="DejaVu Sans"/>
        <family val="2"/>
      </rPr>
      <t xml:space="preserve">실내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페스카데리아 </t>
    </r>
    <r>
      <rPr>
        <sz val="11"/>
        <color theme="1"/>
        <rFont val="Arial"/>
        <family val="0"/>
        <charset val="1"/>
      </rPr>
      <t xml:space="preserve">(2)</t>
    </r>
  </si>
  <si>
    <r>
      <rPr>
        <sz val="11"/>
        <color theme="1"/>
        <rFont val="DejaVu Sans"/>
        <family val="2"/>
      </rPr>
      <t xml:space="preserve">제작완료분 
</t>
    </r>
    <r>
      <rPr>
        <sz val="11"/>
        <color theme="1"/>
        <rFont val="Arial"/>
        <family val="0"/>
        <charset val="1"/>
      </rPr>
      <t xml:space="preserve">- EP 11~12 
- </t>
    </r>
    <r>
      <rPr>
        <sz val="11"/>
        <color theme="1"/>
        <rFont val="DejaVu Sans"/>
        <family val="2"/>
      </rPr>
      <t xml:space="preserve">외전 </t>
    </r>
    <r>
      <rPr>
        <sz val="11"/>
        <color theme="1"/>
        <rFont val="Arial"/>
        <family val="0"/>
        <charset val="1"/>
      </rPr>
      <t xml:space="preserve">4~7 
- </t>
    </r>
    <r>
      <rPr>
        <sz val="11"/>
        <color theme="1"/>
        <rFont val="DejaVu Sans"/>
        <family val="2"/>
      </rPr>
      <t xml:space="preserve">로이킴 바이럴</t>
    </r>
  </si>
  <si>
    <r>
      <rPr>
        <sz val="11"/>
        <color theme="1"/>
        <rFont val="DejaVu Sans"/>
        <family val="2"/>
      </rPr>
      <t xml:space="preserve">제작완료분</t>
    </r>
    <r>
      <rPr>
        <sz val="11"/>
        <color theme="1"/>
        <rFont val="Arial"/>
        <family val="0"/>
        <charset val="1"/>
      </rPr>
      <t xml:space="preserve">(7) </t>
    </r>
    <r>
      <rPr>
        <sz val="11"/>
        <color theme="1"/>
        <rFont val="DejaVu Sans"/>
        <family val="2"/>
      </rPr>
      <t xml:space="preserve">외 </t>
    </r>
    <r>
      <rPr>
        <sz val="11"/>
        <color theme="1"/>
        <rFont val="Arial"/>
        <family val="0"/>
        <charset val="1"/>
      </rPr>
      <t xml:space="preserve">: EP13~20, </t>
    </r>
    <r>
      <rPr>
        <sz val="11"/>
        <color theme="1"/>
        <rFont val="DejaVu Sans"/>
        <family val="2"/>
      </rPr>
      <t xml:space="preserve">외전 </t>
    </r>
    <r>
      <rPr>
        <sz val="11"/>
        <color theme="1"/>
        <rFont val="Arial"/>
        <family val="0"/>
        <charset val="1"/>
      </rPr>
      <t xml:space="preserve">8</t>
    </r>
  </si>
  <si>
    <r>
      <rPr>
        <sz val="11"/>
        <color theme="1"/>
        <rFont val="Arial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계약 시 협의한 할인비율에 따라 기본가</t>
    </r>
    <r>
      <rPr>
        <sz val="11"/>
        <color theme="1"/>
        <rFont val="Arial"/>
        <family val="0"/>
        <charset val="1"/>
      </rPr>
      <t xml:space="preserve">(30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기준 </t>
    </r>
    <r>
      <rPr>
        <sz val="11"/>
        <color theme="1"/>
        <rFont val="Arial"/>
        <family val="0"/>
        <charset val="1"/>
      </rPr>
      <t xml:space="preserve">30% </t>
    </r>
    <r>
      <rPr>
        <sz val="11"/>
        <color theme="1"/>
        <rFont val="DejaVu Sans"/>
        <family val="2"/>
      </rPr>
      <t xml:space="preserve">할인 적용</t>
    </r>
  </si>
  <si>
    <r>
      <rPr>
        <sz val="11"/>
        <color rgb="FF0000FF"/>
        <rFont val="Arial"/>
        <family val="0"/>
        <charset val="1"/>
      </rPr>
      <t xml:space="preserve">*</t>
    </r>
    <r>
      <rPr>
        <sz val="11"/>
        <color rgb="FF0000FF"/>
        <rFont val="DejaVu Sans"/>
        <family val="2"/>
      </rPr>
      <t xml:space="preserve">촬영 및 제작에 사용한 카드사용내역분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DejaVu Sans"/>
        <family val="2"/>
      </rPr>
      <t xml:space="preserve">내역 상세 </t>
    </r>
    <r>
      <rPr>
        <sz val="11"/>
        <color rgb="FF0000FF"/>
        <rFont val="Arial"/>
        <family val="0"/>
        <charset val="1"/>
      </rPr>
      <t xml:space="preserve">PPT</t>
    </r>
    <r>
      <rPr>
        <sz val="11"/>
        <color rgb="FF0000FF"/>
        <rFont val="DejaVu Sans"/>
        <family val="2"/>
      </rPr>
      <t xml:space="preserve">로 별도 전달</t>
    </r>
    <r>
      <rPr>
        <sz val="11"/>
        <color rgb="FF0000FF"/>
        <rFont val="Arial"/>
        <family val="0"/>
        <charset val="1"/>
      </rPr>
      <t xml:space="preserve">)</t>
    </r>
  </si>
  <si>
    <r>
      <rPr>
        <b val="true"/>
        <sz val="11"/>
        <color theme="1"/>
        <rFont val="DejaVu Sans"/>
        <family val="2"/>
      </rPr>
      <t xml:space="preserve">월 청구분 합계 </t>
    </r>
    <r>
      <rPr>
        <b val="true"/>
        <sz val="11"/>
        <color theme="1"/>
        <rFont val="Arial"/>
        <family val="0"/>
        <charset val="1"/>
      </rPr>
      <t xml:space="preserve">(10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</si>
  <si>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사전제작 이후부터는 기획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DejaVu Sans"/>
        <family val="2"/>
      </rPr>
      <t xml:space="preserve">촬영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DejaVu Sans"/>
        <family val="2"/>
      </rPr>
      <t xml:space="preserve">편집에 타임라인 상 간극이 발생하므로 아래와 같이 반영
</t>
    </r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편집과정을 거쳐 제작완료된 경우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수정여부와는 무관</t>
    </r>
    <r>
      <rPr>
        <sz val="11"/>
        <color theme="1"/>
        <rFont val="Arial"/>
        <family val="0"/>
        <charset val="1"/>
      </rPr>
      <t xml:space="preserve">),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편집으로 표기하고 시나리오 기획 및 편집비까지 반영된 비용으로 반영
</t>
    </r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기획되어 촬영까지 진행되었으나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해당 월에 편집산출물이 나오지 않은 상태는 기획으로 표기하고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시나리오기획비만 추가 반영</t>
    </r>
  </si>
  <si>
    <r>
      <rPr>
        <b val="true"/>
        <sz val="11"/>
        <color theme="1"/>
        <rFont val="Arial"/>
        <family val="0"/>
        <charset val="1"/>
      </rPr>
      <t xml:space="preserve">8</t>
    </r>
    <r>
      <rPr>
        <b val="true"/>
        <sz val="11"/>
        <color theme="1"/>
        <rFont val="DejaVu Sans"/>
        <family val="2"/>
      </rPr>
      <t xml:space="preserve">월 청구분</t>
    </r>
  </si>
  <si>
    <r>
      <rPr>
        <sz val="11"/>
        <color theme="1"/>
        <rFont val="DejaVu Sans"/>
        <family val="2"/>
      </rPr>
      <t xml:space="preserve">초기 기획 및 디자인 비용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고정비</t>
    </r>
    <r>
      <rPr>
        <sz val="11"/>
        <color theme="1"/>
        <rFont val="Arial"/>
        <family val="0"/>
        <charset val="1"/>
      </rPr>
      <t xml:space="preserve">) ₩3,000,000
* </t>
    </r>
    <r>
      <rPr>
        <sz val="11"/>
        <color theme="1"/>
        <rFont val="DejaVu Sans"/>
        <family val="2"/>
      </rPr>
      <t xml:space="preserve">사전할인 ₩</t>
    </r>
    <r>
      <rPr>
        <sz val="11"/>
        <color theme="1"/>
        <rFont val="Arial"/>
        <family val="0"/>
        <charset val="1"/>
      </rPr>
      <t xml:space="preserve">1,000,000 </t>
    </r>
    <r>
      <rPr>
        <sz val="11"/>
        <color theme="1"/>
        <rFont val="DejaVu Sans"/>
        <family val="2"/>
      </rPr>
      <t xml:space="preserve">적용</t>
    </r>
  </si>
  <si>
    <r>
      <rPr>
        <b val="true"/>
        <sz val="11"/>
        <color theme="1"/>
        <rFont val="Arial"/>
        <family val="0"/>
        <charset val="1"/>
      </rPr>
      <t xml:space="preserve">9</t>
    </r>
    <r>
      <rPr>
        <b val="true"/>
        <sz val="11"/>
        <color theme="1"/>
        <rFont val="DejaVu Sans"/>
        <family val="2"/>
      </rPr>
      <t xml:space="preserve">월 청구분 </t>
    </r>
  </si>
  <si>
    <r>
      <rPr>
        <sz val="11"/>
        <color theme="1"/>
        <rFont val="DejaVu Sans"/>
        <family val="2"/>
      </rPr>
      <t xml:space="preserve">촬영일 상세</t>
    </r>
    <r>
      <rPr>
        <sz val="11"/>
        <color theme="1"/>
        <rFont val="Arial"/>
        <family val="0"/>
        <charset val="1"/>
      </rPr>
      <t xml:space="preserve">
-. </t>
    </r>
    <r>
      <rPr>
        <sz val="11"/>
        <color theme="1"/>
        <rFont val="DejaVu Sans"/>
        <family val="2"/>
      </rPr>
      <t xml:space="preserve">국순당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크후 </t>
    </r>
    <r>
      <rPr>
        <sz val="11"/>
        <color theme="1"/>
        <rFont val="Arial"/>
        <family val="0"/>
        <charset val="1"/>
      </rPr>
      <t xml:space="preserve">: 9/16(KT&amp;</t>
    </r>
    <r>
      <rPr>
        <sz val="11"/>
        <color theme="1"/>
        <rFont val="DejaVu Sans"/>
        <family val="2"/>
      </rPr>
      <t xml:space="preserve">엘몰리노</t>
    </r>
    <r>
      <rPr>
        <sz val="11"/>
        <color theme="1"/>
        <rFont val="Arial"/>
        <family val="0"/>
        <charset val="1"/>
      </rPr>
      <t xml:space="preserve">), 9/17(KT&amp;</t>
    </r>
    <r>
      <rPr>
        <sz val="11"/>
        <color theme="1"/>
        <rFont val="DejaVu Sans"/>
        <family val="2"/>
      </rPr>
      <t xml:space="preserve">라까예</t>
    </r>
    <r>
      <rPr>
        <sz val="11"/>
        <color theme="1"/>
        <rFont val="Arial"/>
        <family val="0"/>
        <charset val="1"/>
      </rPr>
      <t xml:space="preserve">), 9/22(KT&amp;</t>
    </r>
    <r>
      <rPr>
        <sz val="11"/>
        <color theme="1"/>
        <rFont val="DejaVu Sans"/>
        <family val="2"/>
      </rPr>
      <t xml:space="preserve">샥슈카</t>
    </r>
    <r>
      <rPr>
        <sz val="11"/>
        <color theme="1"/>
        <rFont val="Arial"/>
        <family val="0"/>
        <charset val="1"/>
      </rPr>
      <t xml:space="preserve">), 9/30(</t>
    </r>
    <r>
      <rPr>
        <sz val="11"/>
        <color theme="1"/>
        <rFont val="DejaVu Sans"/>
        <family val="2"/>
      </rPr>
      <t xml:space="preserve">용용선생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크리스피포크타운</t>
    </r>
    <r>
      <rPr>
        <sz val="11"/>
        <color theme="1"/>
        <rFont val="Arial"/>
        <family val="0"/>
        <charset val="1"/>
      </rPr>
      <t xml:space="preserve">)
-. </t>
    </r>
    <r>
      <rPr>
        <sz val="11"/>
        <color theme="1"/>
        <rFont val="DejaVu Sans"/>
        <family val="2"/>
      </rPr>
      <t xml:space="preserve">크후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에디터 </t>
    </r>
    <r>
      <rPr>
        <sz val="11"/>
        <color theme="1"/>
        <rFont val="Arial"/>
        <family val="0"/>
        <charset val="1"/>
      </rPr>
      <t xml:space="preserve">: 9/26(</t>
    </r>
    <r>
      <rPr>
        <sz val="11"/>
        <color theme="1"/>
        <rFont val="DejaVu Sans"/>
        <family val="2"/>
      </rPr>
      <t xml:space="preserve">길거리인터뷰</t>
    </r>
    <r>
      <rPr>
        <sz val="11"/>
        <color theme="1"/>
        <rFont val="Arial"/>
        <family val="0"/>
        <charset val="1"/>
      </rPr>
      <t xml:space="preserve">,</t>
    </r>
    <r>
      <rPr>
        <sz val="11"/>
        <color theme="1"/>
        <rFont val="DejaVu Sans"/>
        <family val="2"/>
      </rPr>
      <t xml:space="preserve">건대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</si>
  <si>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제작 완료 분량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총 </t>
    </r>
    <r>
      <rPr>
        <sz val="11"/>
        <color theme="1"/>
        <rFont val="Arial"/>
        <family val="0"/>
        <charset val="1"/>
      </rPr>
      <t xml:space="preserve">13</t>
    </r>
    <r>
      <rPr>
        <sz val="11"/>
        <color theme="1"/>
        <rFont val="DejaVu Sans"/>
        <family val="2"/>
      </rPr>
      <t xml:space="preserve">건 → 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DejaVu Sans"/>
        <family val="2"/>
      </rPr>
      <t xml:space="preserve">월 내 업로드 완료 예정</t>
    </r>
  </si>
  <si>
    <r>
      <rPr>
        <b val="true"/>
        <sz val="11"/>
        <color theme="1"/>
        <rFont val="DejaVu Sans"/>
        <family val="2"/>
      </rPr>
      <t xml:space="preserve">월 청구분 합계 </t>
    </r>
    <r>
      <rPr>
        <b val="true"/>
        <sz val="11"/>
        <color theme="1"/>
        <rFont val="Arial"/>
        <family val="0"/>
        <charset val="1"/>
      </rPr>
      <t xml:space="preserve">(8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+9</t>
    </r>
    <r>
      <rPr>
        <b val="true"/>
        <sz val="11"/>
        <color theme="1"/>
        <rFont val="DejaVu Sans"/>
        <family val="2"/>
      </rPr>
      <t xml:space="preserve">월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</si>
  <si>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편집과정을 거쳐 제작완료된 경우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수정여부와는 무관</t>
    </r>
    <r>
      <rPr>
        <sz val="11"/>
        <color theme="1"/>
        <rFont val="Arial"/>
        <family val="0"/>
        <charset val="1"/>
      </rPr>
      <t xml:space="preserve">),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편집으로 표기하고 시나리오 기획 및 편집비까지 반영된 비용으로 반영
</t>
    </r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기획되어 촬영까지 진행되었으나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해당 월에 편집산출물이 나오지 않은 상태는 기획으로 표기하고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시나리오기획비만 추가 반영</t>
    </r>
  </si>
  <si>
    <r>
      <rPr>
        <b val="true"/>
        <sz val="13"/>
        <color theme="1"/>
        <rFont val="Arial"/>
        <family val="0"/>
        <charset val="1"/>
      </rPr>
      <t xml:space="preserve">■ 26</t>
    </r>
    <r>
      <rPr>
        <b val="true"/>
        <sz val="13"/>
        <color theme="1"/>
        <rFont val="DejaVu Sans"/>
        <family val="2"/>
      </rPr>
      <t xml:space="preserve">년도 운영예산안 </t>
    </r>
    <r>
      <rPr>
        <b val="true"/>
        <sz val="13"/>
        <color theme="1"/>
        <rFont val="Arial"/>
        <family val="0"/>
        <charset val="1"/>
      </rPr>
      <t xml:space="preserve">_ (</t>
    </r>
    <r>
      <rPr>
        <b val="true"/>
        <sz val="13"/>
        <color theme="1"/>
        <rFont val="DejaVu Sans"/>
        <family val="2"/>
      </rPr>
      <t xml:space="preserve">보고 </t>
    </r>
    <r>
      <rPr>
        <b val="true"/>
        <sz val="13"/>
        <color theme="1"/>
        <rFont val="Arial"/>
        <family val="0"/>
        <charset val="1"/>
      </rPr>
      <t xml:space="preserve">: 20251218)</t>
    </r>
  </si>
  <si>
    <r>
      <rPr>
        <sz val="11"/>
        <color rgb="FF000000"/>
        <rFont val="Noto Sans"/>
        <family val="0"/>
        <charset val="1"/>
      </rPr>
      <t xml:space="preserve">-. </t>
    </r>
    <r>
      <rPr>
        <sz val="11"/>
        <color rgb="FF000000"/>
        <rFont val="DejaVu Sans"/>
        <family val="2"/>
      </rPr>
      <t xml:space="preserve">비정기 콘텐츠의 경우</t>
    </r>
    <r>
      <rPr>
        <sz val="11"/>
        <color rgb="FF000000"/>
        <rFont val="Noto Sans"/>
        <family val="0"/>
        <charset val="1"/>
      </rPr>
      <t xml:space="preserve">, </t>
    </r>
    <r>
      <rPr>
        <sz val="11"/>
        <color rgb="FF000000"/>
        <rFont val="DejaVu Sans"/>
        <family val="2"/>
      </rPr>
      <t xml:space="preserve">월 </t>
    </r>
    <r>
      <rPr>
        <sz val="11"/>
        <color rgb="FF000000"/>
        <rFont val="Noto Sans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건을 기본으로 비용 산정</t>
    </r>
    <r>
      <rPr>
        <sz val="11"/>
        <color rgb="FF000000"/>
        <rFont val="Noto Sans"/>
        <family val="0"/>
        <charset val="1"/>
      </rPr>
      <t xml:space="preserve">
-. </t>
    </r>
    <r>
      <rPr>
        <sz val="11"/>
        <color rgb="FF000000"/>
        <rFont val="DejaVu Sans"/>
        <family val="2"/>
      </rPr>
      <t xml:space="preserve">해당 월 미진행시 제작수량 이월</t>
    </r>
  </si>
  <si>
    <t xml:space="preserve">정기
콘텐츠</t>
  </si>
  <si>
    <r>
      <rPr>
        <sz val="11"/>
        <color theme="1"/>
        <rFont val="DejaVu Sans"/>
        <family val="2"/>
      </rPr>
      <t xml:space="preserve">섭외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로케이션</t>
    </r>
  </si>
  <si>
    <r>
      <rPr>
        <sz val="11"/>
        <color theme="1"/>
        <rFont val="DejaVu Sans"/>
        <family val="2"/>
      </rPr>
      <t xml:space="preserve">촬영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화보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인터뷰</t>
    </r>
    <r>
      <rPr>
        <sz val="11"/>
        <color theme="1"/>
        <rFont val="Noto Sans"/>
        <family val="0"/>
        <charset val="1"/>
      </rPr>
      <t xml:space="preserve">)</t>
    </r>
  </si>
  <si>
    <t xml:space="preserve">set</t>
  </si>
  <si>
    <r>
      <rPr>
        <sz val="11"/>
        <color theme="1"/>
        <rFont val="DejaVu Sans"/>
        <family val="2"/>
      </rPr>
      <t xml:space="preserve">스틸컷</t>
    </r>
    <r>
      <rPr>
        <sz val="11"/>
        <color theme="1"/>
        <rFont val="Calibri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영상 동시 촬영</t>
    </r>
  </si>
  <si>
    <t xml:space="preserve">사진보정</t>
  </si>
  <si>
    <t xml:space="preserve">이미지</t>
  </si>
  <si>
    <r>
      <rPr>
        <sz val="11"/>
        <color theme="1"/>
        <rFont val="DejaVu Sans"/>
        <family val="2"/>
      </rPr>
      <t xml:space="preserve">인물 당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화보이미지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DejaVu Sans"/>
        <family val="2"/>
      </rPr>
      <t xml:space="preserve">장 </t>
    </r>
    <r>
      <rPr>
        <sz val="11"/>
        <color theme="1"/>
        <rFont val="Calibri"/>
        <family val="0"/>
        <charset val="1"/>
      </rPr>
      <t xml:space="preserve">(*</t>
    </r>
    <r>
      <rPr>
        <sz val="11"/>
        <color theme="1"/>
        <rFont val="DejaVu Sans"/>
        <family val="2"/>
      </rPr>
      <t xml:space="preserve">이미지 추가 보정 시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비용 별도 협의</t>
    </r>
    <r>
      <rPr>
        <sz val="11"/>
        <color theme="1"/>
        <rFont val="Calibri"/>
        <family val="0"/>
        <charset val="1"/>
      </rPr>
      <t xml:space="preserve">)</t>
    </r>
  </si>
  <si>
    <t xml:space="preserve">숏폼</t>
  </si>
  <si>
    <r>
      <rPr>
        <sz val="11"/>
        <color theme="1"/>
        <rFont val="DejaVu Sans"/>
        <family val="2"/>
      </rPr>
      <t xml:space="preserve">숏폼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건 </t>
    </r>
    <r>
      <rPr>
        <sz val="11"/>
        <color theme="1"/>
        <rFont val="Calibri"/>
        <family val="0"/>
        <charset val="1"/>
      </rPr>
      <t xml:space="preserve">(#1 </t>
    </r>
    <r>
      <rPr>
        <sz val="11"/>
        <color theme="1"/>
        <rFont val="DejaVu Sans"/>
        <family val="2"/>
      </rPr>
      <t xml:space="preserve">라이프스타일 </t>
    </r>
    <r>
      <rPr>
        <sz val="11"/>
        <color theme="1"/>
        <rFont val="Calibri"/>
        <family val="0"/>
        <charset val="1"/>
      </rPr>
      <t xml:space="preserve">30'' / #2 </t>
    </r>
    <r>
      <rPr>
        <sz val="11"/>
        <color theme="1"/>
        <rFont val="DejaVu Sans"/>
        <family val="2"/>
      </rPr>
      <t xml:space="preserve">인터뷰 </t>
    </r>
    <r>
      <rPr>
        <sz val="11"/>
        <color theme="1"/>
        <rFont val="Calibri"/>
        <family val="0"/>
        <charset val="1"/>
      </rPr>
      <t xml:space="preserve">50'')</t>
    </r>
  </si>
  <si>
    <t xml:space="preserve">소계 ①</t>
  </si>
  <si>
    <r>
      <rPr>
        <sz val="11"/>
        <color theme="1"/>
        <rFont val="DejaVu Sans"/>
        <family val="2"/>
      </rPr>
      <t xml:space="preserve">내용 관련 정보 스터디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질문지 구성</t>
    </r>
  </si>
  <si>
    <t xml:space="preserve">인물 출연료</t>
  </si>
  <si>
    <t xml:space="preserve">인</t>
  </si>
  <si>
    <r>
      <rPr>
        <sz val="11"/>
        <color theme="1"/>
        <rFont val="Calibri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평균가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호스트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외국인</t>
    </r>
    <r>
      <rPr>
        <sz val="11"/>
        <color theme="1"/>
        <rFont val="Calibri"/>
        <family val="0"/>
        <charset val="1"/>
      </rPr>
      <t xml:space="preserve">,</t>
    </r>
    <r>
      <rPr>
        <sz val="11"/>
        <color theme="1"/>
        <rFont val="DejaVu Sans"/>
        <family val="2"/>
      </rPr>
      <t xml:space="preserve">고정</t>
    </r>
    <r>
      <rPr>
        <sz val="11"/>
        <color theme="1"/>
        <rFont val="Calibri"/>
        <family val="0"/>
        <charset val="1"/>
      </rPr>
      <t xml:space="preserve">) ↔ </t>
    </r>
    <r>
      <rPr>
        <sz val="11"/>
        <color theme="1"/>
        <rFont val="DejaVu Sans"/>
        <family val="2"/>
      </rPr>
      <t xml:space="preserve">게스트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시리즈 별 교체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</si>
  <si>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컨셉 구성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시놉시스 구성</t>
    </r>
  </si>
  <si>
    <t xml:space="preserve">비정기
콘텐츠</t>
  </si>
  <si>
    <r>
      <rPr>
        <sz val="11"/>
        <color theme="1"/>
        <rFont val="Calibri"/>
        <family val="0"/>
        <charset val="1"/>
      </rPr>
      <t xml:space="preserve">AI</t>
    </r>
    <r>
      <rPr>
        <sz val="11"/>
        <color theme="1"/>
        <rFont val="DejaVu Sans"/>
        <family val="2"/>
      </rPr>
      <t xml:space="preserve">작업툴 스터디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컨셉 기획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프롬프트 설계</t>
    </r>
  </si>
  <si>
    <r>
      <rPr>
        <sz val="11"/>
        <color theme="1"/>
        <rFont val="Noto Sans"/>
        <family val="0"/>
        <charset val="1"/>
      </rPr>
      <t xml:space="preserve">AI </t>
    </r>
    <r>
      <rPr>
        <sz val="11"/>
        <color theme="1"/>
        <rFont val="DejaVu Sans"/>
        <family val="2"/>
      </rPr>
      <t xml:space="preserve">제작 지원</t>
    </r>
  </si>
  <si>
    <r>
      <rPr>
        <sz val="11"/>
        <color theme="1"/>
        <rFont val="DejaVu Sans"/>
        <family val="2"/>
      </rPr>
      <t xml:space="preserve">이미지 </t>
    </r>
    <r>
      <rPr>
        <sz val="11"/>
        <color theme="1"/>
        <rFont val="Calibri"/>
        <family val="0"/>
        <charset val="1"/>
      </rPr>
      <t xml:space="preserve">Upscale </t>
    </r>
    <r>
      <rPr>
        <sz val="11"/>
        <color theme="1"/>
        <rFont val="DejaVu Sans"/>
        <family val="2"/>
      </rPr>
      <t xml:space="preserve">및 후보정 </t>
    </r>
    <r>
      <rPr>
        <sz val="11"/>
        <color theme="1"/>
        <rFont val="Calibri"/>
        <family val="0"/>
        <charset val="1"/>
      </rPr>
      <t xml:space="preserve">(*</t>
    </r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Calibri"/>
        <family val="0"/>
        <charset val="1"/>
      </rPr>
      <t xml:space="preserve">10</t>
    </r>
    <r>
      <rPr>
        <sz val="11"/>
        <color theme="1"/>
        <rFont val="DejaVu Sans"/>
        <family val="2"/>
      </rPr>
      <t xml:space="preserve">초 이상 분량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비용 별도 협의</t>
    </r>
    <r>
      <rPr>
        <sz val="11"/>
        <color theme="1"/>
        <rFont val="Calibri"/>
        <family val="0"/>
        <charset val="1"/>
      </rPr>
      <t xml:space="preserve">)</t>
    </r>
  </si>
  <si>
    <t xml:space="preserve">기획 및 소재제작</t>
  </si>
  <si>
    <r>
      <rPr>
        <sz val="11"/>
        <color theme="1"/>
        <rFont val="DejaVu Sans"/>
        <family val="2"/>
      </rPr>
      <t xml:space="preserve">이미지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장 기준 </t>
    </r>
    <r>
      <rPr>
        <sz val="11"/>
        <color theme="1"/>
        <rFont val="Calibri"/>
        <family val="0"/>
        <charset val="1"/>
      </rPr>
      <t xml:space="preserve">(*</t>
    </r>
    <r>
      <rPr>
        <sz val="11"/>
        <color theme="1"/>
        <rFont val="DejaVu Sans"/>
        <family val="2"/>
      </rPr>
      <t xml:space="preserve">초과 분량 별도 협의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</si>
  <si>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만 단위 절삭</t>
    </r>
  </si>
  <si>
    <r>
      <rPr>
        <sz val="11"/>
        <color theme="1"/>
        <rFont val="Noto Sans"/>
        <family val="0"/>
        <charset val="1"/>
      </rPr>
      <t xml:space="preserve"> AI </t>
    </r>
    <r>
      <rPr>
        <sz val="11"/>
        <color theme="1"/>
        <rFont val="DejaVu Sans"/>
        <family val="2"/>
      </rPr>
      <t xml:space="preserve">제작 지원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</si>
  <si>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DejaVu Sans"/>
        <family val="2"/>
      </rPr>
      <t xml:space="preserve">이미지 </t>
    </r>
    <r>
      <rPr>
        <sz val="11"/>
        <color theme="1"/>
        <rFont val="Calibri"/>
        <family val="0"/>
        <charset val="1"/>
      </rPr>
      <t xml:space="preserve">Upscale, </t>
    </r>
    <r>
      <rPr>
        <sz val="11"/>
        <color theme="1"/>
        <rFont val="DejaVu Sans"/>
        <family val="2"/>
      </rPr>
      <t xml:space="preserve">후보정</t>
    </r>
  </si>
  <si>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Calibri"/>
        <family val="0"/>
        <charset val="1"/>
      </rPr>
      <t xml:space="preserve">Upscale</t>
    </r>
  </si>
  <si>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캐러셀</t>
    </r>
    <r>
      <rPr>
        <sz val="11"/>
        <color theme="1"/>
        <rFont val="Calibri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소재제작</t>
    </r>
  </si>
  <si>
    <t xml:space="preserve">■ 영상 종류별 편당 단가표</t>
  </si>
  <si>
    <t xml:space="preserve">영상 종류</t>
  </si>
  <si>
    <r>
      <rPr>
        <b val="true"/>
        <sz val="9"/>
        <color rgb="FF000000"/>
        <rFont val="&quot;맑은 고딕&quot;"/>
        <family val="0"/>
        <charset val="1"/>
      </rPr>
      <t xml:space="preserve">Step.1 </t>
    </r>
    <r>
      <rPr>
        <b val="true"/>
        <sz val="9"/>
        <color rgb="FF000000"/>
        <rFont val="DejaVu Sans"/>
        <family val="2"/>
      </rPr>
      <t xml:space="preserve">기획</t>
    </r>
    <r>
      <rPr>
        <b val="true"/>
        <sz val="9"/>
        <color rgb="FF000000"/>
        <rFont val="&quot;맑은 고딕&quot;"/>
        <family val="0"/>
        <charset val="1"/>
      </rPr>
      <t xml:space="preserve">/</t>
    </r>
    <r>
      <rPr>
        <b val="true"/>
        <sz val="9"/>
        <color rgb="FF000000"/>
        <rFont val="DejaVu Sans"/>
        <family val="2"/>
      </rPr>
      <t xml:space="preserve">시나리오</t>
    </r>
  </si>
  <si>
    <r>
      <rPr>
        <b val="true"/>
        <sz val="9"/>
        <color rgb="FF000000"/>
        <rFont val="&quot;맑은 고딕&quot;"/>
        <family val="0"/>
        <charset val="1"/>
      </rPr>
      <t xml:space="preserve">Step.2 </t>
    </r>
    <r>
      <rPr>
        <b val="true"/>
        <sz val="9"/>
        <color rgb="FF000000"/>
        <rFont val="DejaVu Sans"/>
        <family val="2"/>
      </rPr>
      <t xml:space="preserve">촬영지원</t>
    </r>
  </si>
  <si>
    <r>
      <rPr>
        <b val="true"/>
        <sz val="9"/>
        <color rgb="FF000000"/>
        <rFont val="&quot;맑은 고딕&quot;"/>
        <family val="0"/>
        <charset val="1"/>
      </rPr>
      <t xml:space="preserve">Step.3 </t>
    </r>
    <r>
      <rPr>
        <b val="true"/>
        <sz val="9"/>
        <color rgb="FF000000"/>
        <rFont val="DejaVu Sans"/>
        <family val="2"/>
      </rPr>
      <t xml:space="preserve">편집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</si>
  <si>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투입인력</t>
    </r>
    <r>
      <rPr>
        <sz val="9"/>
        <color rgb="FF000000"/>
        <rFont val="&quot;맑은 고딕&quot;"/>
        <family val="0"/>
        <charset val="1"/>
      </rPr>
      <t xml:space="preserve">] CH</t>
    </r>
    <r>
      <rPr>
        <sz val="9"/>
        <color rgb="FF000000"/>
        <rFont val="DejaVu Sans"/>
        <family val="2"/>
      </rPr>
      <t xml:space="preserve">팀 </t>
    </r>
    <r>
      <rPr>
        <sz val="9"/>
        <color rgb="FF000000"/>
        <rFont val="&quot;맑은 고딕&quot;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인 </t>
    </r>
    <r>
      <rPr>
        <sz val="9"/>
        <color rgb="FF000000"/>
        <rFont val="&quot;맑은 고딕&quot;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어시스턴트 에디터 </t>
    </r>
    <r>
      <rPr>
        <sz val="9"/>
        <color rgb="FF000000"/>
        <rFont val="&quot;맑은 고딕&quot;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인 </t>
    </r>
    <r>
      <rPr>
        <sz val="9"/>
        <color rgb="FF000000"/>
        <rFont val="&quot;맑은 고딕&quot;"/>
        <family val="0"/>
        <charset val="1"/>
      </rPr>
      <t xml:space="preserve">/ </t>
    </r>
    <r>
      <rPr>
        <sz val="9"/>
        <color rgb="FF000000"/>
        <rFont val="DejaVu Sans"/>
        <family val="2"/>
      </rPr>
      <t xml:space="preserve">콘텐츠 당 기본 </t>
    </r>
    <r>
      <rPr>
        <sz val="9"/>
        <color rgb="FF000000"/>
        <rFont val="&quot;맑은 고딕&quot;"/>
        <family val="0"/>
        <charset val="1"/>
      </rPr>
      <t xml:space="preserve">3h </t>
    </r>
    <r>
      <rPr>
        <sz val="9"/>
        <color rgb="FF000000"/>
        <rFont val="DejaVu Sans"/>
        <family val="2"/>
      </rPr>
      <t xml:space="preserve">투입
 [기본가</t>
    </r>
    <r>
      <rPr>
        <sz val="9"/>
        <color rgb="FF000000"/>
        <rFont val="&quot;맑은 고딕&quot;"/>
        <family val="0"/>
        <charset val="1"/>
      </rPr>
      <t xml:space="preserve">] 3h*50,000 = 150,000</t>
    </r>
    <r>
      <rPr>
        <sz val="9"/>
        <color rgb="FF000000"/>
        <rFont val="DejaVu Sans"/>
        <family val="2"/>
      </rPr>
      <t xml:space="preserve">원 
→ 템플릿화 이후 운영효율화 고려하여</t>
    </r>
    <r>
      <rPr>
        <sz val="9"/>
        <color rgb="FF000000"/>
        <rFont val="&quot;맑은 고딕&quot;"/>
        <family val="0"/>
        <charset val="1"/>
      </rPr>
      <t xml:space="preserve">, 20% </t>
    </r>
    <r>
      <rPr>
        <sz val="9"/>
        <color rgb="FF000000"/>
        <rFont val="DejaVu Sans"/>
        <family val="2"/>
      </rPr>
      <t xml:space="preserve">할인가 적용 </t>
    </r>
    <r>
      <rPr>
        <sz val="9"/>
        <color rgb="FF000000"/>
        <rFont val="&quot;맑은 고딕&quot;"/>
        <family val="0"/>
        <charset val="1"/>
      </rPr>
      <t xml:space="preserve">= 120,000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</si>
  <si>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투입인력</t>
    </r>
    <r>
      <rPr>
        <sz val="9"/>
        <color rgb="FF000000"/>
        <rFont val="&quot;맑은 고딕&quot;"/>
        <family val="0"/>
        <charset val="1"/>
      </rPr>
      <t xml:space="preserve">] CH</t>
    </r>
    <r>
      <rPr>
        <sz val="9"/>
        <color rgb="FF000000"/>
        <rFont val="DejaVu Sans"/>
        <family val="2"/>
      </rPr>
      <t xml:space="preserve">팀 </t>
    </r>
    <r>
      <rPr>
        <sz val="9"/>
        <color rgb="FF000000"/>
        <rFont val="&quot;맑은 고딕&quot;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인</t>
    </r>
    <r>
      <rPr>
        <sz val="9"/>
        <color rgb="FF000000"/>
        <rFont val="&quot;맑은 고딕&quot;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연출</t>
    </r>
    <r>
      <rPr>
        <sz val="9"/>
        <color rgb="FF000000"/>
        <rFont val="&quot;맑은 고딕&quot;"/>
        <family val="0"/>
        <charset val="1"/>
      </rPr>
      <t xml:space="preserve">1, </t>
    </r>
    <r>
      <rPr>
        <sz val="9"/>
        <color rgb="FF000000"/>
        <rFont val="DejaVu Sans"/>
        <family val="2"/>
      </rPr>
      <t xml:space="preserve">촬영</t>
    </r>
    <r>
      <rPr>
        <sz val="9"/>
        <color rgb="FF000000"/>
        <rFont val="&quot;맑은 고딕&quot;"/>
        <family val="0"/>
        <charset val="1"/>
      </rPr>
      <t xml:space="preserve">1) / 1</t>
    </r>
    <r>
      <rPr>
        <sz val="9"/>
        <color rgb="FF000000"/>
        <rFont val="DejaVu Sans"/>
        <family val="2"/>
      </rPr>
      <t xml:space="preserve">회 촬영 당</t>
    </r>
    <r>
      <rPr>
        <sz val="9"/>
        <color rgb="FF000000"/>
        <rFont val="&quot;맑은 고딕&quot;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&quot;맑은 고딕&quot;"/>
        <family val="0"/>
        <charset val="1"/>
      </rPr>
      <t xml:space="preserve">8h </t>
    </r>
    <r>
      <rPr>
        <sz val="9"/>
        <color rgb="FF000000"/>
        <rFont val="DejaVu Sans"/>
        <family val="2"/>
      </rPr>
      <t xml:space="preserve">투입
 [기본가</t>
    </r>
    <r>
      <rPr>
        <sz val="9"/>
        <color rgb="FF000000"/>
        <rFont val="&quot;맑은 고딕&quot;"/>
        <family val="0"/>
        <charset val="1"/>
      </rPr>
      <t xml:space="preserve">] 8h*2</t>
    </r>
    <r>
      <rPr>
        <sz val="9"/>
        <color rgb="FF000000"/>
        <rFont val="DejaVu Sans"/>
        <family val="2"/>
      </rPr>
      <t xml:space="preserve">인</t>
    </r>
    <r>
      <rPr>
        <sz val="9"/>
        <color rgb="FF000000"/>
        <rFont val="&quot;맑은 고딕&quot;"/>
        <family val="0"/>
        <charset val="1"/>
      </rPr>
      <t xml:space="preserve">*50,000 = 800,000 / </t>
    </r>
    <r>
      <rPr>
        <sz val="9"/>
        <color rgb="FF000000"/>
        <rFont val="DejaVu Sans"/>
        <family val="2"/>
      </rPr>
      <t xml:space="preserve">촬영 지원 시</t>
    </r>
    <r>
      <rPr>
        <sz val="9"/>
        <color rgb="FF000000"/>
        <rFont val="&quot;맑은 고딕&quot;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장비 지원금액 포함 산출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</si>
  <si>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투입인력</t>
    </r>
    <r>
      <rPr>
        <sz val="9"/>
        <color rgb="FF000000"/>
        <rFont val="&quot;맑은 고딕&quot;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촬영</t>
    </r>
    <r>
      <rPr>
        <sz val="9"/>
        <color rgb="FF000000"/>
        <rFont val="&quot;맑은 고딕&quot;"/>
        <family val="0"/>
        <charset val="1"/>
      </rPr>
      <t xml:space="preserve">(30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&quot;맑은 고딕&quot;"/>
        <family val="0"/>
        <charset val="1"/>
      </rPr>
      <t xml:space="preserve">~1</t>
    </r>
    <r>
      <rPr>
        <sz val="9"/>
        <color rgb="FF000000"/>
        <rFont val="DejaVu Sans"/>
        <family val="2"/>
      </rPr>
      <t xml:space="preserve">분</t>
    </r>
    <r>
      <rPr>
        <sz val="9"/>
        <color rgb="FF000000"/>
        <rFont val="&quot;맑은 고딕&quot;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기준</t>
    </r>
    <r>
      <rPr>
        <sz val="9"/>
        <color rgb="FF000000"/>
        <rFont val="&quot;맑은 고딕&quot;"/>
        <family val="0"/>
        <charset val="1"/>
      </rPr>
      <t xml:space="preserve">, 1</t>
    </r>
    <r>
      <rPr>
        <sz val="9"/>
        <color rgb="FF000000"/>
        <rFont val="DejaVu Sans"/>
        <family val="2"/>
      </rPr>
      <t xml:space="preserve">인 </t>
    </r>
    <r>
      <rPr>
        <sz val="9"/>
        <color rgb="FF000000"/>
        <rFont val="&quot;맑은 고딕&quot;"/>
        <family val="0"/>
        <charset val="1"/>
      </rPr>
      <t xml:space="preserve">6h</t>
    </r>
    <r>
      <rPr>
        <sz val="9"/>
        <color rgb="FF000000"/>
        <rFont val="DejaVu Sans"/>
        <family val="2"/>
      </rPr>
      <t xml:space="preserve">투입
 [기본가</t>
    </r>
    <r>
      <rPr>
        <sz val="9"/>
        <color rgb="FF000000"/>
        <rFont val="&quot;맑은 고딕&quot;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편당 </t>
    </r>
    <r>
      <rPr>
        <sz val="9"/>
        <color rgb="FF000000"/>
        <rFont val="&quot;맑은 고딕&quot;"/>
        <family val="0"/>
        <charset val="1"/>
      </rPr>
      <t xml:space="preserve">6h*50,000 = 300,000</t>
    </r>
    <r>
      <rPr>
        <sz val="9"/>
        <color rgb="FF000000"/>
        <rFont val="DejaVu Sans"/>
        <family val="2"/>
      </rPr>
      <t xml:space="preserve">원 </t>
    </r>
  </si>
  <si>
    <t xml:space="preserve">리소스 상세</t>
  </si>
  <si>
    <r>
      <rPr>
        <b val="true"/>
        <sz val="9"/>
        <color rgb="FF000000"/>
        <rFont val="DejaVu Sans"/>
        <family val="2"/>
      </rPr>
      <t xml:space="preserve">비용 </t>
    </r>
    <r>
      <rPr>
        <b val="true"/>
        <sz val="9"/>
        <color rgb="FF000000"/>
        <rFont val="&quot;맑은 고딕&quot;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편당</t>
    </r>
    <r>
      <rPr>
        <b val="true"/>
        <sz val="9"/>
        <color rgb="FF000000"/>
        <rFont val="&quot;맑은 고딕&quot;"/>
        <family val="0"/>
        <charset val="1"/>
      </rPr>
      <t xml:space="preserve">)</t>
    </r>
  </si>
  <si>
    <t xml:space="preserve">투입 인력</t>
  </si>
  <si>
    <t xml:space="preserve">장비 지원</t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</si>
  <si>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&quot;맑은 고딕&quot;"/>
        <family val="0"/>
        <charset val="1"/>
      </rPr>
      <t xml:space="preserve">1] 
</t>
    </r>
    <r>
      <rPr>
        <sz val="9"/>
        <color rgb="FF000000"/>
        <rFont val="DejaVu Sans"/>
        <family val="2"/>
      </rPr>
      <t xml:space="preserve">미션 기반 콘텐츠</t>
    </r>
  </si>
  <si>
    <r>
      <rPr>
        <sz val="9"/>
        <color rgb="FF000000"/>
        <rFont val="&quot;맑은 고딕&quot;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콘텐츠 포맷 기획
 - 스크립트 작성
 - 레퍼런스 탐색
 - 콘텐츠 전략 및 촬영 기획</t>
    </r>
  </si>
  <si>
    <r>
      <rPr>
        <sz val="9"/>
        <color rgb="FF000000"/>
        <rFont val="&quot;맑은 고딕&quot;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비용산출
 *1회 촬영분에 대한 기획료</t>
    </r>
  </si>
  <si>
    <r>
      <rPr>
        <sz val="9"/>
        <color rgb="FF000000"/>
        <rFont val="&quot;맑은 고딕&quot;"/>
        <family val="0"/>
        <charset val="1"/>
      </rPr>
      <t xml:space="preserve">*2</t>
    </r>
    <r>
      <rPr>
        <sz val="9"/>
        <color rgb="FF000000"/>
        <rFont val="DejaVu Sans"/>
        <family val="2"/>
      </rPr>
      <t xml:space="preserve">인 
</t>
    </r>
    <r>
      <rPr>
        <sz val="9"/>
        <color rgb="FF000000"/>
        <rFont val="&quot;맑은 고딕&quot;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연출</t>
    </r>
    <r>
      <rPr>
        <sz val="9"/>
        <color rgb="FF000000"/>
        <rFont val="&quot;맑은 고딕&quot;"/>
        <family val="0"/>
        <charset val="1"/>
      </rPr>
      <t xml:space="preserve">1 / </t>
    </r>
    <r>
      <rPr>
        <sz val="9"/>
        <color rgb="FF000000"/>
        <rFont val="DejaVu Sans"/>
        <family val="2"/>
      </rPr>
      <t xml:space="preserve">촬영</t>
    </r>
    <r>
      <rPr>
        <sz val="9"/>
        <color rgb="FF000000"/>
        <rFont val="&quot;맑은 고딕&quot;"/>
        <family val="0"/>
        <charset val="1"/>
      </rPr>
      <t xml:space="preserve">1) 
+</t>
    </r>
    <r>
      <rPr>
        <sz val="9"/>
        <color rgb="FF000000"/>
        <rFont val="DejaVu Sans"/>
        <family val="2"/>
      </rPr>
      <t xml:space="preserve">에디터 </t>
    </r>
    <r>
      <rPr>
        <sz val="9"/>
        <color rgb="FF000000"/>
        <rFont val="&quot;맑은 고딕&quot;"/>
        <family val="0"/>
        <charset val="1"/>
      </rPr>
      <t xml:space="preserve">N</t>
    </r>
    <r>
      <rPr>
        <sz val="9"/>
        <color rgb="FF000000"/>
        <rFont val="DejaVu Sans"/>
        <family val="2"/>
      </rPr>
      <t xml:space="preserve">명</t>
    </r>
  </si>
  <si>
    <r>
      <rPr>
        <sz val="9"/>
        <color rgb="FF000000"/>
        <rFont val="&quot;맑은 고딕&quot;"/>
        <family val="0"/>
        <charset val="1"/>
      </rPr>
      <t xml:space="preserve">- Sony A7C2
 - TAMRON 15-75mm (</t>
    </r>
    <r>
      <rPr>
        <sz val="9"/>
        <color rgb="FF000000"/>
        <rFont val="DejaVu Sans"/>
        <family val="2"/>
      </rPr>
      <t xml:space="preserve">선택</t>
    </r>
    <r>
      <rPr>
        <sz val="9"/>
        <color rgb="FF000000"/>
        <rFont val="&quot;맑은 고딕&quot;"/>
        <family val="0"/>
        <charset val="1"/>
      </rPr>
      <t xml:space="preserve">) DJI RS3 </t>
    </r>
    <r>
      <rPr>
        <sz val="9"/>
        <color rgb="FF000000"/>
        <rFont val="DejaVu Sans"/>
        <family val="2"/>
      </rPr>
      <t xml:space="preserve">짐벌
 - DJI OSMO Pocket 3 Package
 - DJI Mic Mini x2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</si>
  <si>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기본가</t>
    </r>
    <r>
      <rPr>
        <sz val="9"/>
        <color rgb="FF000000"/>
        <rFont val="&quot;맑은 고딕&quot;"/>
        <family val="0"/>
        <charset val="1"/>
      </rPr>
      <t xml:space="preserve">] 80</t>
    </r>
    <r>
      <rPr>
        <sz val="9"/>
        <color rgb="FF000000"/>
        <rFont val="DejaVu Sans"/>
        <family val="2"/>
      </rPr>
      <t xml:space="preserve">만원 기준 </t>
    </r>
    <r>
      <rPr>
        <sz val="9"/>
        <color rgb="FF000000"/>
        <rFont val="&quot;맑은 고딕&quot;"/>
        <family val="0"/>
        <charset val="1"/>
      </rPr>
      <t xml:space="preserve">20% </t>
    </r>
    <r>
      <rPr>
        <sz val="9"/>
        <color rgb="FF000000"/>
        <rFont val="DejaVu Sans"/>
        <family val="2"/>
      </rPr>
      <t xml:space="preserve">할인가
</t>
    </r>
    <r>
      <rPr>
        <sz val="9"/>
        <color rgb="FF000000"/>
        <rFont val="&quot;맑은 고딕&quot;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초기 기획논의 및 템플릿화에 따른 </t>
    </r>
    <r>
      <rPr>
        <sz val="9"/>
        <color rgb="FF000000"/>
        <rFont val="&quot;맑은 고딕&quot;"/>
        <family val="0"/>
        <charset val="1"/>
      </rPr>
      <t xml:space="preserve">20% </t>
    </r>
    <r>
      <rPr>
        <sz val="9"/>
        <color rgb="FF000000"/>
        <rFont val="DejaVu Sans"/>
        <family val="2"/>
      </rPr>
      <t xml:space="preserve">할인가 적용 
</t>
    </r>
    <r>
      <rPr>
        <sz val="9"/>
        <color rgb="FF000000"/>
        <rFont val="&quot;맑은 고딕&quot;"/>
        <family val="0"/>
        <charset val="1"/>
      </rPr>
      <t xml:space="preserve">* </t>
    </r>
    <r>
      <rPr>
        <sz val="9"/>
        <color rgb="FF000000"/>
        <rFont val="DejaVu Sans"/>
        <family val="2"/>
      </rPr>
      <t xml:space="preserve">모든 </t>
    </r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&quot;맑은 고딕&quot;"/>
        <family val="0"/>
        <charset val="1"/>
      </rPr>
      <t xml:space="preserve">1] </t>
    </r>
    <r>
      <rPr>
        <sz val="9"/>
        <color rgb="FF000000"/>
        <rFont val="DejaVu Sans"/>
        <family val="2"/>
      </rPr>
      <t xml:space="preserve">콘텐츠는 식당</t>
    </r>
    <r>
      <rPr>
        <sz val="9"/>
        <color rgb="FF000000"/>
        <rFont val="&quot;맑은 고딕&quot;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사무실 등 여러 공간에서 이동형</t>
    </r>
    <r>
      <rPr>
        <sz val="9"/>
        <color rgb="FF000000"/>
        <rFont val="&quot;맑은 고딕&quot;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고정형 촬영이 교차되는 것으로 전제 
</t>
    </r>
    <r>
      <rPr>
        <sz val="9"/>
        <color rgb="FF000000"/>
        <rFont val="&quot;맑은 고딕&quot;"/>
        <family val="0"/>
        <charset val="1"/>
      </rPr>
      <t xml:space="preserve">* </t>
    </r>
    <r>
      <rPr>
        <sz val="9"/>
        <color rgb="FF000000"/>
        <rFont val="DejaVu Sans"/>
        <family val="2"/>
      </rPr>
      <t xml:space="preserve">촬영 </t>
    </r>
    <r>
      <rPr>
        <sz val="9"/>
        <color rgb="FF000000"/>
        <rFont val="&quot;맑은 고딕&quot;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회당 기본적으로 </t>
    </r>
    <r>
      <rPr>
        <sz val="9"/>
        <color rgb="FF000000"/>
        <rFont val="&quot;맑은 고딕&quot;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회분의 콘텐츠를 기대할 수 있음 
</t>
    </r>
    <r>
      <rPr>
        <sz val="9"/>
        <color rgb="FF000000"/>
        <rFont val="&quot;맑은 고딕&quot;"/>
        <family val="0"/>
        <charset val="1"/>
      </rPr>
      <t xml:space="preserve">-- </t>
    </r>
    <r>
      <rPr>
        <sz val="9"/>
        <color rgb="FF000000"/>
        <rFont val="DejaVu Sans"/>
        <family val="2"/>
      </rPr>
      <t xml:space="preserve">촬영 단계에서 일반적인 고정촬영 콘텐츠와 같이 템플릿화하기는 어려우나</t>
    </r>
    <r>
      <rPr>
        <sz val="9"/>
        <color rgb="FF000000"/>
        <rFont val="&quot;맑은 고딕&quot;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향후 효율화를 고려하여 촬영 당 </t>
    </r>
    <r>
      <rPr>
        <sz val="9"/>
        <color rgb="FF000000"/>
        <rFont val="&quot;맑은 고딕&quot;"/>
        <family val="0"/>
        <charset val="1"/>
      </rPr>
      <t xml:space="preserve">6h</t>
    </r>
    <r>
      <rPr>
        <sz val="9"/>
        <color rgb="FF000000"/>
        <rFont val="DejaVu Sans"/>
        <family val="2"/>
      </rPr>
      <t xml:space="preserve">로 산정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</si>
  <si>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가편집</t>
    </r>
    <r>
      <rPr>
        <sz val="9"/>
        <color rgb="FF000000"/>
        <rFont val="&quot;맑은 고딕&quot;"/>
        <family val="0"/>
        <charset val="1"/>
      </rPr>
      <t xml:space="preserve">]
 컷편집+</t>
    </r>
    <r>
      <rPr>
        <sz val="9"/>
        <color rgb="FF000000"/>
        <rFont val="DejaVu Sans"/>
        <family val="2"/>
      </rPr>
      <t xml:space="preserve">사운드</t>
    </r>
    <r>
      <rPr>
        <sz val="9"/>
        <color rgb="FF000000"/>
        <rFont val="&quot;맑은 고딕&quot;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자막
 [본편집</t>
    </r>
    <r>
      <rPr>
        <sz val="9"/>
        <color rgb="FF000000"/>
        <rFont val="&quot;맑은 고딕&quot;"/>
        <family val="0"/>
        <charset val="1"/>
      </rPr>
      <t xml:space="preserve">]
 색보정+</t>
    </r>
    <r>
      <rPr>
        <sz val="9"/>
        <color rgb="FF000000"/>
        <rFont val="DejaVu Sans"/>
        <family val="2"/>
      </rPr>
      <t xml:space="preserve">디테일
 *수정 횟수 제한 </t>
    </r>
    <r>
      <rPr>
        <sz val="9"/>
        <color rgb="FF000000"/>
        <rFont val="&quot;맑은 고딕&quot;"/>
        <family val="0"/>
        <charset val="1"/>
      </rPr>
      <t xml:space="preserve">X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</si>
  <si>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할인가 적용</t>
    </r>
    <r>
      <rPr>
        <sz val="9"/>
        <color rgb="FF000000"/>
        <rFont val="&quot;맑은 고딕&quot;"/>
        <family val="0"/>
        <charset val="1"/>
      </rPr>
      <t xml:space="preserve">]
 -. </t>
    </r>
    <r>
      <rPr>
        <sz val="9"/>
        <color rgb="FF000000"/>
        <rFont val="DejaVu Sans"/>
        <family val="2"/>
      </rPr>
      <t xml:space="preserve">초기 기획논의 및 디자인 설정
 -. 영상 별 템플릿화 적용
 -. N개월 장기 운영
 이에 편집총액의 </t>
    </r>
    <r>
      <rPr>
        <sz val="9"/>
        <color rgb="FF000000"/>
        <rFont val="&quot;맑은 고딕&quot;"/>
        <family val="0"/>
        <charset val="1"/>
      </rPr>
      <t xml:space="preserve">20% </t>
    </r>
    <r>
      <rPr>
        <sz val="9"/>
        <color rgb="FF000000"/>
        <rFont val="DejaVu Sans"/>
        <family val="2"/>
      </rPr>
      <t xml:space="preserve">할인가 적용
 ※ 3개월 견적 </t>
    </r>
    <r>
      <rPr>
        <sz val="9"/>
        <color rgb="FF000000"/>
        <rFont val="&quot;맑은 고딕&quot;"/>
        <family val="0"/>
        <charset val="1"/>
      </rPr>
      <t xml:space="preserve">+ 30</t>
    </r>
    <r>
      <rPr>
        <sz val="9"/>
        <color rgb="FF000000"/>
        <rFont val="DejaVu Sans"/>
        <family val="2"/>
      </rPr>
      <t xml:space="preserve">건 적용하여 추가할인 적용
 -. 30건 기준 </t>
    </r>
    <r>
      <rPr>
        <sz val="9"/>
        <color rgb="FF000000"/>
        <rFont val="&quot;맑은 고딕&quot;"/>
        <family val="0"/>
        <charset val="1"/>
      </rPr>
      <t xml:space="preserve">640</t>
    </r>
    <r>
      <rPr>
        <sz val="9"/>
        <color rgb="FF000000"/>
        <rFont val="DejaVu Sans"/>
        <family val="2"/>
      </rPr>
      <t xml:space="preserve">만원
 -. 편당 </t>
    </r>
    <r>
      <rPr>
        <sz val="9"/>
        <color rgb="FF000000"/>
        <rFont val="&quot;맑은 고딕&quot;"/>
        <family val="0"/>
        <charset val="1"/>
      </rPr>
      <t xml:space="preserve">210,000</t>
    </r>
    <r>
      <rPr>
        <sz val="9"/>
        <color rgb="FF000000"/>
        <rFont val="DejaVu Sans"/>
        <family val="2"/>
      </rPr>
      <t xml:space="preserve">원 </t>
    </r>
    <r>
      <rPr>
        <sz val="9"/>
        <color rgb="FF000000"/>
        <rFont val="&quot;맑은 고딕&quot;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기본가 대비 </t>
    </r>
    <r>
      <rPr>
        <sz val="9"/>
        <color rgb="FF000000"/>
        <rFont val="&quot;맑은 고딕&quot;"/>
        <family val="0"/>
        <charset val="1"/>
      </rPr>
      <t xml:space="preserve">30% </t>
    </r>
    <r>
      <rPr>
        <sz val="9"/>
        <color rgb="FF000000"/>
        <rFont val="DejaVu Sans"/>
        <family val="2"/>
      </rPr>
      <t xml:space="preserve">할인</t>
    </r>
    <r>
      <rPr>
        <sz val="9"/>
        <color rgb="FF000000"/>
        <rFont val="&quot;맑은 고딕&quot;"/>
        <family val="0"/>
        <charset val="1"/>
      </rPr>
      <t xml:space="preserve">)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</si>
  <si>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&quot;맑은 고딕&quot;"/>
        <family val="0"/>
        <charset val="1"/>
      </rPr>
      <t xml:space="preserve">2] 
</t>
    </r>
    <r>
      <rPr>
        <sz val="9"/>
        <color rgb="FF000000"/>
        <rFont val="DejaVu Sans"/>
        <family val="2"/>
      </rPr>
      <t xml:space="preserve">업무 관련 브이로그</t>
    </r>
  </si>
  <si>
    <r>
      <rPr>
        <sz val="9"/>
        <color rgb="FF000000"/>
        <rFont val="&quot;맑은 고딕&quot;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콘텐츠 포맷 기획
 - 레퍼런스 탐색
 - 콘텐츠 전략 및 촬영 기획
 - 브이로그 콘티 기획</t>
    </r>
  </si>
  <si>
    <r>
      <rPr>
        <sz val="9"/>
        <color rgb="FF000000"/>
        <rFont val="&quot;맑은 고딕&quot;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브이로그 특성 상</t>
    </r>
    <r>
      <rPr>
        <sz val="9"/>
        <color rgb="FF000000"/>
        <rFont val="&quot;맑은 고딕&quot;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스크립트 제외 됨에 따라 </t>
    </r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&quot;맑은 고딕&quot;"/>
        <family val="0"/>
        <charset val="1"/>
      </rPr>
      <t xml:space="preserve">2] </t>
    </r>
    <r>
      <rPr>
        <sz val="9"/>
        <color rgb="FF000000"/>
        <rFont val="DejaVu Sans"/>
        <family val="2"/>
      </rPr>
      <t xml:space="preserve">기본 단가에서 할인 적용
 - 비용산출
 *1회 촬영분에 대한 기획료</t>
    </r>
  </si>
  <si>
    <r>
      <rPr>
        <sz val="9"/>
        <color rgb="FF000000"/>
        <rFont val="DejaVu Sans"/>
        <family val="2"/>
      </rPr>
      <t xml:space="preserve">동행 </t>
    </r>
    <r>
      <rPr>
        <sz val="9"/>
        <color rgb="FF000000"/>
        <rFont val="&quot;맑은 고딕&quot;"/>
        <family val="0"/>
        <charset val="1"/>
      </rPr>
      <t xml:space="preserve">X (</t>
    </r>
    <r>
      <rPr>
        <sz val="9"/>
        <color rgb="FF000000"/>
        <rFont val="DejaVu Sans"/>
        <family val="2"/>
      </rPr>
      <t xml:space="preserve">장비대여지원</t>
    </r>
    <r>
      <rPr>
        <sz val="9"/>
        <color rgb="FF000000"/>
        <rFont val="&quot;맑은 고딕&quot;"/>
        <family val="0"/>
        <charset val="1"/>
      </rPr>
      <t xml:space="preserve">)</t>
    </r>
  </si>
  <si>
    <r>
      <rPr>
        <sz val="9"/>
        <color rgb="FF000000"/>
        <rFont val="&quot;맑은 고딕&quot;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대여 품목</t>
    </r>
    <r>
      <rPr>
        <sz val="9"/>
        <color rgb="FF000000"/>
        <rFont val="&quot;맑은 고딕&quot;"/>
        <family val="0"/>
        <charset val="1"/>
      </rPr>
      <t xml:space="preserve">]
 - DJI OSMO Pocket 3 Package
 - DJI Mic Mici x2</t>
    </r>
  </si>
  <si>
    <r>
      <rPr>
        <sz val="9"/>
        <color rgb="FF000000"/>
        <rFont val="&quot;맑은 고딕&quot;"/>
        <family val="0"/>
        <charset val="1"/>
      </rPr>
      <t xml:space="preserve"> - </t>
    </r>
    <r>
      <rPr>
        <sz val="9"/>
        <color rgb="FF000000"/>
        <rFont val="DejaVu Sans"/>
        <family val="2"/>
      </rPr>
      <t xml:space="preserve">촬영 미동반
 - 장비대여 및 사용가이드 제공 단가</t>
    </r>
  </si>
  <si>
    <r>
      <rPr>
        <b val="true"/>
        <sz val="12"/>
        <color theme="1"/>
        <rFont val="DejaVu Sans"/>
        <family val="2"/>
      </rPr>
      <t xml:space="preserve">■ 초기 기획비용 및 디자인 비용 </t>
    </r>
    <r>
      <rPr>
        <b val="true"/>
        <sz val="12"/>
        <color theme="1"/>
        <rFont val="Arial"/>
        <family val="0"/>
        <charset val="1"/>
      </rPr>
      <t xml:space="preserve">(</t>
    </r>
    <r>
      <rPr>
        <b val="true"/>
        <sz val="12"/>
        <color theme="1"/>
        <rFont val="DejaVu Sans"/>
        <family val="2"/>
      </rPr>
      <t xml:space="preserve">고정비</t>
    </r>
    <r>
      <rPr>
        <b val="true"/>
        <sz val="12"/>
        <color theme="1"/>
        <rFont val="Arial"/>
        <family val="0"/>
        <charset val="1"/>
      </rPr>
      <t xml:space="preserve">)</t>
    </r>
  </si>
  <si>
    <t xml:space="preserve">사전 기획료</t>
  </si>
  <si>
    <r>
      <rPr>
        <sz val="11"/>
        <color theme="1"/>
        <rFont val="DejaVu Sans"/>
        <family val="2"/>
      </rPr>
      <t xml:space="preserve">전반적인 채널운영 및 콘텐츠 시리즈에 대한 기획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레퍼런스 탐색 및 컨셉 단위 제안</t>
    </r>
  </si>
  <si>
    <t xml:space="preserve">디자인리소스</t>
  </si>
  <si>
    <r>
      <rPr>
        <sz val="11"/>
        <color theme="1"/>
        <rFont val="DejaVu Sans"/>
        <family val="2"/>
      </rPr>
      <t xml:space="preserve">로고타입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폰트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컬러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영상디자인 요소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영상 </t>
    </r>
    <r>
      <rPr>
        <sz val="11"/>
        <color theme="1"/>
        <rFont val="Arial"/>
        <family val="0"/>
        <charset val="1"/>
      </rPr>
      <t xml:space="preserve">T&amp;M (*</t>
    </r>
    <r>
      <rPr>
        <sz val="11"/>
        <color theme="1"/>
        <rFont val="DejaVu Sans"/>
        <family val="2"/>
      </rPr>
      <t xml:space="preserve">필요 시 현장콘텐츠 활용하는 소품디자인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</si>
  <si>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rgb="FF4A86E8"/>
        <rFont val="DejaVu Sans"/>
        <family val="2"/>
      </rPr>
      <t xml:space="preserve">하반기 </t>
    </r>
    <r>
      <rPr>
        <sz val="11"/>
        <color rgb="FF4A86E8"/>
        <rFont val="Arial"/>
        <family val="0"/>
        <charset val="1"/>
      </rPr>
      <t xml:space="preserve">N</t>
    </r>
    <r>
      <rPr>
        <sz val="11"/>
        <color rgb="FF4A86E8"/>
        <rFont val="DejaVu Sans"/>
        <family val="2"/>
      </rPr>
      <t xml:space="preserve">개월 계약에 따른 사전할인</t>
    </r>
  </si>
  <si>
    <t xml:space="preserve">총액</t>
  </si>
  <si>
    <t xml:space="preserve">■ 영상 편당 단가</t>
  </si>
  <si>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Arial"/>
        <family val="0"/>
        <charset val="1"/>
      </rPr>
      <t xml:space="preserve">1]
</t>
    </r>
    <r>
      <rPr>
        <sz val="11"/>
        <color theme="1"/>
        <rFont val="DejaVu Sans"/>
        <family val="2"/>
      </rPr>
      <t xml:space="preserve">미션 기반 </t>
    </r>
    <r>
      <rPr>
        <sz val="11"/>
        <color theme="1"/>
        <rFont val="Arial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팀콘텐츠</t>
    </r>
  </si>
  <si>
    <r>
      <rPr>
        <b val="true"/>
        <sz val="11"/>
        <color theme="1"/>
        <rFont val="DejaVu Sans"/>
        <family val="2"/>
      </rPr>
      <t xml:space="preserve">편 당 </t>
    </r>
    <r>
      <rPr>
        <b val="true"/>
        <sz val="11"/>
        <color theme="1"/>
        <rFont val="Arial"/>
        <family val="0"/>
        <charset val="1"/>
      </rPr>
      <t xml:space="preserve">810,000</t>
    </r>
  </si>
  <si>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국순당 팀과 동행하며 여러 공간에서 촬영 이루어질 예정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이동형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DejaVu Sans"/>
        <family val="2"/>
      </rPr>
      <t xml:space="preserve">고정형</t>
    </r>
    <r>
      <rPr>
        <sz val="11"/>
        <color theme="1"/>
        <rFont val="Arial"/>
        <family val="0"/>
        <charset val="1"/>
      </rPr>
      <t xml:space="preserve">)
- </t>
    </r>
    <r>
      <rPr>
        <sz val="11"/>
        <color theme="1"/>
        <rFont val="DejaVu Sans"/>
        <family val="2"/>
      </rPr>
      <t xml:space="preserve">향후 효율화를 고려하여 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촬영지원</t>
    </r>
    <r>
      <rPr>
        <sz val="11"/>
        <color theme="1"/>
        <rFont val="Arial"/>
        <family val="0"/>
        <charset val="1"/>
      </rPr>
      <t xml:space="preserve">]</t>
    </r>
    <r>
      <rPr>
        <sz val="11"/>
        <color theme="1"/>
        <rFont val="DejaVu Sans"/>
        <family val="2"/>
      </rPr>
      <t xml:space="preserve">비용에서 추가할인하여 비용 산정</t>
    </r>
    <r>
      <rPr>
        <sz val="11"/>
        <color theme="1"/>
        <rFont val="Arial"/>
        <family val="0"/>
        <charset val="1"/>
      </rPr>
      <t xml:space="preserve">
*</t>
    </r>
    <r>
      <rPr>
        <sz val="11"/>
        <color theme="1"/>
        <rFont val="DejaVu Sans"/>
        <family val="2"/>
      </rPr>
      <t xml:space="preserve">산식 ₩</t>
    </r>
    <r>
      <rPr>
        <sz val="11"/>
        <color theme="1"/>
        <rFont val="Arial"/>
        <family val="0"/>
        <charset val="1"/>
      </rPr>
      <t xml:space="preserve">800,000(</t>
    </r>
    <r>
      <rPr>
        <sz val="11"/>
        <color theme="1"/>
        <rFont val="DejaVu Sans"/>
        <family val="2"/>
      </rPr>
      <t xml:space="preserve">기본가</t>
    </r>
    <r>
      <rPr>
        <sz val="11"/>
        <color theme="1"/>
        <rFont val="Arial"/>
        <family val="0"/>
        <charset val="1"/>
      </rPr>
      <t xml:space="preserve">)*0.8 (</t>
    </r>
    <r>
      <rPr>
        <sz val="11"/>
        <color theme="1"/>
        <rFont val="DejaVu Sans"/>
        <family val="2"/>
      </rPr>
      <t xml:space="preserve">초기 논의 기반 템플릿화</t>
    </r>
    <r>
      <rPr>
        <sz val="11"/>
        <color theme="1"/>
        <rFont val="Arial"/>
        <family val="0"/>
        <charset val="1"/>
      </rPr>
      <t xml:space="preserve">20%</t>
    </r>
    <r>
      <rPr>
        <sz val="11"/>
        <color theme="1"/>
        <rFont val="DejaVu Sans"/>
        <family val="2"/>
      </rPr>
      <t xml:space="preserve">할인</t>
    </r>
    <r>
      <rPr>
        <sz val="11"/>
        <color theme="1"/>
        <rFont val="Arial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추가할인 </t>
    </r>
    <r>
      <rPr>
        <sz val="11"/>
        <color theme="1"/>
        <rFont val="Arial"/>
        <family val="0"/>
        <charset val="1"/>
      </rPr>
      <t xml:space="preserve">0.75 
= </t>
    </r>
    <r>
      <rPr>
        <sz val="11"/>
        <color theme="1"/>
        <rFont val="DejaVu Sans"/>
        <family val="2"/>
      </rPr>
      <t xml:space="preserve">편당 촬영지원비 ₩</t>
    </r>
    <r>
      <rPr>
        <sz val="11"/>
        <color theme="1"/>
        <rFont val="Arial"/>
        <family val="0"/>
        <charset val="1"/>
      </rPr>
      <t xml:space="preserve">480,000
- </t>
    </r>
    <r>
      <rPr>
        <sz val="11"/>
        <color theme="1"/>
        <rFont val="DejaVu Sans"/>
        <family val="2"/>
      </rPr>
      <t xml:space="preserve">기획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시나리오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편집비용은 위 단가 참조</t>
    </r>
    <r>
      <rPr>
        <sz val="11"/>
        <color theme="1"/>
        <rFont val="Arial"/>
        <family val="0"/>
        <charset val="1"/>
      </rPr>
      <t xml:space="preserve">
* </t>
    </r>
    <r>
      <rPr>
        <sz val="11"/>
        <color theme="1"/>
        <rFont val="DejaVu Sans"/>
        <family val="2"/>
      </rPr>
      <t xml:space="preserve">시리즈 종류 관계없이 촬영비에 대해서는 </t>
    </r>
    <r>
      <rPr>
        <sz val="11"/>
        <color theme="1"/>
        <rFont val="Arial"/>
        <family val="0"/>
        <charset val="1"/>
      </rPr>
      <t xml:space="preserve">30</t>
    </r>
    <r>
      <rPr>
        <sz val="11"/>
        <color theme="1"/>
        <rFont val="DejaVu Sans"/>
        <family val="2"/>
      </rPr>
      <t xml:space="preserve">건 기준 </t>
    </r>
    <r>
      <rPr>
        <sz val="11"/>
        <color theme="1"/>
        <rFont val="Arial"/>
        <family val="0"/>
        <charset val="1"/>
      </rPr>
      <t xml:space="preserve">640</t>
    </r>
    <r>
      <rPr>
        <sz val="11"/>
        <color theme="1"/>
        <rFont val="DejaVu Sans"/>
        <family val="2"/>
      </rPr>
      <t xml:space="preserve">만원 </t>
    </r>
    <r>
      <rPr>
        <sz val="11"/>
        <color theme="1"/>
        <rFont val="Arial"/>
        <family val="0"/>
        <charset val="1"/>
      </rPr>
      <t xml:space="preserve">
  (</t>
    </r>
    <r>
      <rPr>
        <sz val="11"/>
        <color theme="1"/>
        <rFont val="DejaVu Sans"/>
        <family val="2"/>
      </rPr>
      <t xml:space="preserve">편당 ₩</t>
    </r>
    <r>
      <rPr>
        <sz val="11"/>
        <color theme="1"/>
        <rFont val="Arial"/>
        <family val="0"/>
        <charset val="1"/>
      </rPr>
      <t xml:space="preserve">210,000, </t>
    </r>
    <r>
      <rPr>
        <sz val="11"/>
        <color theme="1"/>
        <rFont val="DejaVu Sans"/>
        <family val="2"/>
      </rPr>
      <t xml:space="preserve">기본가 대비 </t>
    </r>
    <r>
      <rPr>
        <sz val="11"/>
        <color theme="1"/>
        <rFont val="Arial"/>
        <family val="0"/>
        <charset val="1"/>
      </rPr>
      <t xml:space="preserve">30% </t>
    </r>
    <r>
      <rPr>
        <sz val="11"/>
        <color theme="1"/>
        <rFont val="DejaVu Sans"/>
        <family val="2"/>
      </rPr>
      <t xml:space="preserve">할인된 금액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DejaVu Sans"/>
        <family val="2"/>
      </rPr>
      <t xml:space="preserve">적용</t>
    </r>
  </si>
  <si>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Arial"/>
        <family val="0"/>
        <charset val="1"/>
      </rPr>
      <t xml:space="preserve">2]
</t>
    </r>
    <r>
      <rPr>
        <sz val="11"/>
        <color theme="1"/>
        <rFont val="DejaVu Sans"/>
        <family val="2"/>
      </rPr>
      <t xml:space="preserve">업무 관련</t>
    </r>
    <r>
      <rPr>
        <sz val="11"/>
        <color theme="1"/>
        <rFont val="Arial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브이로그</t>
    </r>
    <r>
      <rPr>
        <sz val="11"/>
        <color theme="1"/>
        <rFont val="Arial"/>
        <family val="0"/>
        <charset val="1"/>
      </rPr>
      <t xml:space="preserve">
</t>
    </r>
    <r>
      <rPr>
        <sz val="11"/>
        <color theme="1"/>
        <rFont val="DejaVu Sans"/>
        <family val="2"/>
      </rPr>
      <t xml:space="preserve">콘텐츠 </t>
    </r>
  </si>
  <si>
    <r>
      <rPr>
        <b val="true"/>
        <sz val="11"/>
        <color theme="1"/>
        <rFont val="DejaVu Sans"/>
        <family val="2"/>
      </rPr>
      <t xml:space="preserve">편 당 </t>
    </r>
    <r>
      <rPr>
        <b val="true"/>
        <sz val="11"/>
        <color theme="1"/>
        <rFont val="Arial"/>
        <family val="0"/>
        <charset val="1"/>
      </rPr>
      <t xml:space="preserve">390,000</t>
    </r>
  </si>
  <si>
    <r>
      <rPr>
        <sz val="11"/>
        <color theme="1"/>
        <rFont val="Arial"/>
        <family val="0"/>
        <charset val="1"/>
      </rPr>
      <t xml:space="preserve">- </t>
    </r>
    <r>
      <rPr>
        <sz val="11"/>
        <color theme="1"/>
        <rFont val="DejaVu Sans"/>
        <family val="2"/>
      </rPr>
      <t xml:space="preserve">장비대여 및 촬영가이드로 촬영 대체</t>
    </r>
  </si>
  <si>
    <r>
      <rPr>
        <b val="true"/>
        <sz val="11"/>
        <color theme="1"/>
        <rFont val="DejaVu Sans"/>
        <family val="2"/>
      </rPr>
      <t xml:space="preserve">촬영지원 </t>
    </r>
    <r>
      <rPr>
        <b val="true"/>
        <sz val="11"/>
        <color theme="1"/>
        <rFont val="Arial"/>
        <family val="0"/>
        <charset val="1"/>
      </rPr>
      <t xml:space="preserve">(1</t>
    </r>
    <r>
      <rPr>
        <b val="true"/>
        <sz val="11"/>
        <color theme="1"/>
        <rFont val="DejaVu Sans"/>
        <family val="2"/>
      </rPr>
      <t xml:space="preserve">일</t>
    </r>
    <r>
      <rPr>
        <b val="true"/>
        <sz val="11"/>
        <color theme="1"/>
        <rFont val="Arial"/>
        <family val="0"/>
        <charset val="1"/>
      </rPr>
      <t xml:space="preserve">, 6h / </t>
    </r>
    <r>
      <rPr>
        <b val="true"/>
        <sz val="11"/>
        <color theme="1"/>
        <rFont val="DejaVu Sans"/>
        <family val="2"/>
      </rPr>
      <t xml:space="preserve">크후팀 동행</t>
    </r>
    <r>
      <rPr>
        <b val="true"/>
        <sz val="11"/>
        <color theme="1"/>
        <rFont val="Arial"/>
        <family val="0"/>
        <charset val="1"/>
      </rPr>
      <t xml:space="preserve">)</t>
    </r>
  </si>
  <si>
    <t xml:space="preserve">일</t>
  </si>
  <si>
    <r>
      <rPr>
        <sz val="11"/>
        <color theme="1"/>
        <rFont val="DejaVu Sans"/>
        <family val="2"/>
      </rPr>
      <t xml:space="preserve">촬영일 상세</t>
    </r>
    <r>
      <rPr>
        <sz val="11"/>
        <color theme="1"/>
        <rFont val="Arial"/>
        <family val="0"/>
        <charset val="1"/>
      </rPr>
      <t xml:space="preserve">
-. </t>
    </r>
    <r>
      <rPr>
        <sz val="11"/>
        <color theme="1"/>
        <rFont val="DejaVu Sans"/>
        <family val="2"/>
      </rPr>
      <t xml:space="preserve">국순당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크후 </t>
    </r>
    <r>
      <rPr>
        <sz val="11"/>
        <color theme="1"/>
        <rFont val="Arial"/>
        <family val="0"/>
        <charset val="1"/>
      </rPr>
      <t xml:space="preserve">: 9/16(KT&amp;</t>
    </r>
    <r>
      <rPr>
        <sz val="11"/>
        <color theme="1"/>
        <rFont val="DejaVu Sans"/>
        <family val="2"/>
      </rPr>
      <t xml:space="preserve">엘몰리노</t>
    </r>
    <r>
      <rPr>
        <sz val="11"/>
        <color theme="1"/>
        <rFont val="Arial"/>
        <family val="0"/>
        <charset val="1"/>
      </rPr>
      <t xml:space="preserve">), 9/17(KT&amp;</t>
    </r>
    <r>
      <rPr>
        <sz val="11"/>
        <color theme="1"/>
        <rFont val="DejaVu Sans"/>
        <family val="2"/>
      </rPr>
      <t xml:space="preserve">라까예</t>
    </r>
    <r>
      <rPr>
        <sz val="11"/>
        <color theme="1"/>
        <rFont val="Arial"/>
        <family val="0"/>
        <charset val="1"/>
      </rPr>
      <t xml:space="preserve">), 9/22(KT&amp;</t>
    </r>
    <r>
      <rPr>
        <sz val="11"/>
        <color theme="1"/>
        <rFont val="DejaVu Sans"/>
        <family val="2"/>
      </rPr>
      <t xml:space="preserve">샥슈카</t>
    </r>
    <r>
      <rPr>
        <sz val="11"/>
        <color theme="1"/>
        <rFont val="Arial"/>
        <family val="0"/>
        <charset val="1"/>
      </rPr>
      <t xml:space="preserve">), 9/30(</t>
    </r>
    <r>
      <rPr>
        <sz val="11"/>
        <color theme="1"/>
        <rFont val="DejaVu Sans"/>
        <family val="2"/>
      </rPr>
      <t xml:space="preserve">용용선생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크리스피포크타운</t>
    </r>
    <r>
      <rPr>
        <sz val="11"/>
        <color theme="1"/>
        <rFont val="Arial"/>
        <family val="0"/>
        <charset val="1"/>
      </rPr>
      <t xml:space="preserve">)
-. </t>
    </r>
    <r>
      <rPr>
        <sz val="11"/>
        <color theme="1"/>
        <rFont val="DejaVu Sans"/>
        <family val="2"/>
      </rPr>
      <t xml:space="preserve">크후</t>
    </r>
    <r>
      <rPr>
        <sz val="11"/>
        <color theme="1"/>
        <rFont val="Arial"/>
        <family val="0"/>
        <charset val="1"/>
      </rPr>
      <t xml:space="preserve">x</t>
    </r>
    <r>
      <rPr>
        <sz val="11"/>
        <color theme="1"/>
        <rFont val="DejaVu Sans"/>
        <family val="2"/>
      </rPr>
      <t xml:space="preserve">에디터 </t>
    </r>
    <r>
      <rPr>
        <sz val="11"/>
        <color theme="1"/>
        <rFont val="Arial"/>
        <family val="0"/>
        <charset val="1"/>
      </rPr>
      <t xml:space="preserve">: 10/26(</t>
    </r>
    <r>
      <rPr>
        <sz val="11"/>
        <color theme="1"/>
        <rFont val="DejaVu Sans"/>
        <family val="2"/>
      </rPr>
      <t xml:space="preserve">길거리인터뷰</t>
    </r>
    <r>
      <rPr>
        <sz val="11"/>
        <color theme="1"/>
        <rFont val="Arial"/>
        <family val="0"/>
        <charset val="1"/>
      </rPr>
      <t xml:space="preserve">,</t>
    </r>
    <r>
      <rPr>
        <sz val="11"/>
        <color theme="1"/>
        <rFont val="DejaVu Sans"/>
        <family val="2"/>
      </rPr>
      <t xml:space="preserve">건대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</si>
  <si>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비고</t>
    </r>
    <r>
      <rPr>
        <sz val="11"/>
        <color theme="1"/>
        <rFont val="Arial"/>
        <family val="0"/>
        <charset val="1"/>
      </rPr>
      <t xml:space="preserve">] *251014
1</t>
    </r>
    <r>
      <rPr>
        <sz val="11"/>
        <color theme="1"/>
        <rFont val="DejaVu Sans"/>
        <family val="2"/>
      </rPr>
      <t xml:space="preserve">일</t>
    </r>
    <r>
      <rPr>
        <sz val="11"/>
        <color theme="1"/>
        <rFont val="Arial"/>
        <family val="0"/>
        <charset val="1"/>
      </rPr>
      <t xml:space="preserve">(6h) </t>
    </r>
    <r>
      <rPr>
        <sz val="11"/>
        <color theme="1"/>
        <rFont val="DejaVu Sans"/>
        <family val="2"/>
      </rPr>
      <t xml:space="preserve">촬영한 분량을 여러 편으로 나눠 제작하고 있음에 따라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기존 단가표 내 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촬영지원 </t>
    </r>
    <r>
      <rPr>
        <sz val="11"/>
        <color theme="1"/>
        <rFont val="Arial"/>
        <family val="0"/>
        <charset val="1"/>
      </rPr>
      <t xml:space="preserve">*</t>
    </r>
    <r>
      <rPr>
        <sz val="11"/>
        <color theme="1"/>
        <rFont val="DejaVu Sans"/>
        <family val="2"/>
      </rPr>
      <t xml:space="preserve">편당</t>
    </r>
    <r>
      <rPr>
        <sz val="11"/>
        <color theme="1"/>
        <rFont val="Arial"/>
        <family val="0"/>
        <charset val="1"/>
      </rPr>
      <t xml:space="preserve">48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Arial"/>
        <family val="0"/>
        <charset val="1"/>
      </rPr>
      <t xml:space="preserve">] </t>
    </r>
    <r>
      <rPr>
        <sz val="11"/>
        <color theme="1"/>
        <rFont val="DejaVu Sans"/>
        <family val="2"/>
      </rPr>
      <t xml:space="preserve">비용에 관한 부분 조율하고자 합니다</t>
    </r>
    <r>
      <rPr>
        <sz val="11"/>
        <color theme="1"/>
        <rFont val="Arial"/>
        <family val="0"/>
        <charset val="1"/>
      </rPr>
      <t xml:space="preserve">.
  → </t>
    </r>
    <r>
      <rPr>
        <sz val="11"/>
        <color theme="1"/>
        <rFont val="DejaVu Sans"/>
        <family val="2"/>
      </rPr>
      <t xml:space="preserve">초기 계약 당시</t>
    </r>
    <r>
      <rPr>
        <sz val="11"/>
        <color theme="1"/>
        <rFont val="Arial"/>
        <family val="0"/>
        <charset val="1"/>
      </rPr>
      <t xml:space="preserve">, 1</t>
    </r>
    <r>
      <rPr>
        <sz val="11"/>
        <color theme="1"/>
        <rFont val="DejaVu Sans"/>
        <family val="2"/>
      </rPr>
      <t xml:space="preserve">회당 기본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회분의 콘텐츠 제작이 기대됨에 따라 </t>
    </r>
    <r>
      <rPr>
        <sz val="11"/>
        <color theme="1"/>
        <rFont val="Arial"/>
        <family val="0"/>
        <charset val="1"/>
      </rPr>
      <t xml:space="preserve">*48</t>
    </r>
    <r>
      <rPr>
        <sz val="11"/>
        <color theme="1"/>
        <rFont val="DejaVu Sans"/>
        <family val="2"/>
      </rPr>
      <t xml:space="preserve">만원 비용으로 협의</t>
    </r>
    <r>
      <rPr>
        <sz val="11"/>
        <color theme="1"/>
        <rFont val="Arial"/>
        <family val="0"/>
        <charset val="1"/>
      </rPr>
      <t xml:space="preserve">
  → </t>
    </r>
    <r>
      <rPr>
        <sz val="11"/>
        <color theme="1"/>
        <rFont val="DejaVu Sans"/>
        <family val="2"/>
      </rPr>
      <t xml:space="preserve">현재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DejaVu Sans"/>
        <family val="2"/>
      </rPr>
      <t xml:space="preserve">회 촬영한 분량을 여러 콘텐츠에 나눠 활용하고 있음에 따라 조정 필요</t>
    </r>
    <r>
      <rPr>
        <sz val="11"/>
        <color theme="1"/>
        <rFont val="Arial"/>
        <family val="0"/>
        <charset val="1"/>
      </rPr>
      <t xml:space="preserve">
※ </t>
    </r>
    <r>
      <rPr>
        <sz val="11"/>
        <color theme="1"/>
        <rFont val="DejaVu Sans"/>
        <family val="2"/>
      </rPr>
      <t xml:space="preserve">제안</t>
    </r>
    <r>
      <rPr>
        <sz val="11"/>
        <color theme="1"/>
        <rFont val="Arial"/>
        <family val="0"/>
        <charset val="1"/>
      </rPr>
      <t xml:space="preserve">
 -. [</t>
    </r>
    <r>
      <rPr>
        <sz val="11"/>
        <color theme="1"/>
        <rFont val="DejaVu Sans"/>
        <family val="2"/>
      </rPr>
      <t xml:space="preserve">촬영지원</t>
    </r>
    <r>
      <rPr>
        <sz val="11"/>
        <color theme="1"/>
        <rFont val="Arial"/>
        <family val="0"/>
        <charset val="1"/>
      </rPr>
      <t xml:space="preserve">] </t>
    </r>
    <r>
      <rPr>
        <sz val="11"/>
        <color theme="1"/>
        <rFont val="DejaVu Sans"/>
        <family val="2"/>
      </rPr>
      <t xml:space="preserve">비용은 촬영일</t>
    </r>
    <r>
      <rPr>
        <sz val="11"/>
        <color theme="1"/>
        <rFont val="Arial"/>
        <family val="0"/>
        <charset val="1"/>
      </rPr>
      <t xml:space="preserve">(1</t>
    </r>
    <r>
      <rPr>
        <sz val="11"/>
        <color theme="1"/>
        <rFont val="DejaVu Sans"/>
        <family val="2"/>
      </rPr>
      <t xml:space="preserve">일</t>
    </r>
    <r>
      <rPr>
        <sz val="11"/>
        <color theme="1"/>
        <rFont val="Arial"/>
        <family val="0"/>
        <charset val="1"/>
      </rPr>
      <t xml:space="preserve">, 6h)</t>
    </r>
    <r>
      <rPr>
        <sz val="11"/>
        <color theme="1"/>
        <rFont val="DejaVu Sans"/>
        <family val="2"/>
      </rPr>
      <t xml:space="preserve">을 기준으로 청구</t>
    </r>
    <r>
      <rPr>
        <sz val="11"/>
        <color theme="1"/>
        <rFont val="Arial"/>
        <family val="0"/>
        <charset val="1"/>
      </rPr>
      <t xml:space="preserve">
 -. </t>
    </r>
    <r>
      <rPr>
        <sz val="11"/>
        <color theme="1"/>
        <rFont val="DejaVu Sans"/>
        <family val="2"/>
      </rPr>
      <t xml:space="preserve">그 외 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시나리오 </t>
    </r>
    <r>
      <rPr>
        <sz val="11"/>
        <color theme="1"/>
        <rFont val="Arial"/>
        <family val="0"/>
        <charset val="1"/>
      </rPr>
      <t xml:space="preserve">/ </t>
    </r>
    <r>
      <rPr>
        <sz val="11"/>
        <color theme="1"/>
        <rFont val="DejaVu Sans"/>
        <family val="2"/>
      </rPr>
      <t xml:space="preserve">편집비</t>
    </r>
    <r>
      <rPr>
        <sz val="11"/>
        <color theme="1"/>
        <rFont val="Arial"/>
        <family val="0"/>
        <charset val="1"/>
      </rPr>
      <t xml:space="preserve">]</t>
    </r>
    <r>
      <rPr>
        <sz val="11"/>
        <color theme="1"/>
        <rFont val="DejaVu Sans"/>
        <family val="2"/>
      </rPr>
      <t xml:space="preserve">는 완성본을 기준으로 각각 단가표에 맞춰 청구 유지</t>
    </r>
  </si>
  <si>
    <r>
      <rPr>
        <b val="true"/>
        <sz val="11"/>
        <color theme="1"/>
        <rFont val="Arial"/>
        <family val="0"/>
        <charset val="1"/>
      </rPr>
      <t xml:space="preserve">[A</t>
    </r>
    <r>
      <rPr>
        <b val="true"/>
        <sz val="11"/>
        <color theme="1"/>
        <rFont val="DejaVu Sans"/>
        <family val="2"/>
      </rPr>
      <t xml:space="preserve">안</t>
    </r>
    <r>
      <rPr>
        <b val="true"/>
        <sz val="11"/>
        <color theme="1"/>
        <rFont val="Arial"/>
        <family val="0"/>
        <charset val="1"/>
      </rPr>
      <t xml:space="preserve">] </t>
    </r>
    <r>
      <rPr>
        <b val="true"/>
        <sz val="11"/>
        <color theme="1"/>
        <rFont val="DejaVu Sans"/>
        <family val="2"/>
      </rPr>
      <t xml:space="preserve">촬영단위 재정의</t>
    </r>
  </si>
  <si>
    <r>
      <rPr>
        <b val="true"/>
        <sz val="11"/>
        <color theme="1"/>
        <rFont val="DejaVu Sans"/>
        <family val="2"/>
      </rPr>
      <t xml:space="preserve">하루에 촬영하더라도 콘셉트</t>
    </r>
    <r>
      <rPr>
        <b val="true"/>
        <sz val="11"/>
        <color theme="1"/>
        <rFont val="Arial"/>
        <family val="0"/>
        <charset val="1"/>
      </rPr>
      <t xml:space="preserve">·</t>
    </r>
    <r>
      <rPr>
        <b val="true"/>
        <sz val="11"/>
        <color theme="1"/>
        <rFont val="DejaVu Sans"/>
        <family val="2"/>
      </rPr>
      <t xml:space="preserve">로케이션</t>
    </r>
    <r>
      <rPr>
        <b val="true"/>
        <sz val="11"/>
        <color theme="1"/>
        <rFont val="Arial"/>
        <family val="0"/>
        <charset val="1"/>
      </rPr>
      <t xml:space="preserve">·</t>
    </r>
    <r>
      <rPr>
        <b val="true"/>
        <sz val="11"/>
        <color theme="1"/>
        <rFont val="DejaVu Sans"/>
        <family val="2"/>
      </rPr>
      <t xml:space="preserve">구성이 달라지는 세그먼트는 별도 촬영단위로 간주합니다</t>
    </r>
    <r>
      <rPr>
        <b val="true"/>
        <sz val="11"/>
        <color theme="1"/>
        <rFont val="Arial"/>
        <family val="0"/>
        <charset val="1"/>
      </rPr>
      <t xml:space="preserve">. </t>
    </r>
    <r>
      <rPr>
        <b val="true"/>
        <sz val="11"/>
        <color theme="1"/>
        <rFont val="DejaVu Sans"/>
        <family val="2"/>
      </rPr>
      <t xml:space="preserve">따라서 </t>
    </r>
    <r>
      <rPr>
        <b val="true"/>
        <sz val="11"/>
        <color theme="1"/>
        <rFont val="Arial"/>
        <family val="0"/>
        <charset val="1"/>
      </rPr>
      <t xml:space="preserve">9</t>
    </r>
    <r>
      <rPr>
        <b val="true"/>
        <sz val="11"/>
        <color theme="1"/>
        <rFont val="DejaVu Sans"/>
        <family val="2"/>
      </rPr>
      <t xml:space="preserve">월 촬영에는 촬영일 </t>
    </r>
    <r>
      <rPr>
        <b val="true"/>
        <sz val="11"/>
        <color theme="1"/>
        <rFont val="Arial"/>
        <family val="0"/>
        <charset val="1"/>
      </rPr>
      <t xml:space="preserve">5</t>
    </r>
    <r>
      <rPr>
        <b val="true"/>
        <sz val="11"/>
        <color theme="1"/>
        <rFont val="DejaVu Sans"/>
        <family val="2"/>
      </rPr>
      <t xml:space="preserve">일이 아닌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촬영로케이션</t>
    </r>
    <r>
      <rPr>
        <b val="true"/>
        <sz val="11"/>
        <color theme="1"/>
        <rFont val="Arial"/>
        <family val="0"/>
        <charset val="1"/>
      </rPr>
      <t xml:space="preserve">/</t>
    </r>
    <r>
      <rPr>
        <b val="true"/>
        <sz val="11"/>
        <color theme="1"/>
        <rFont val="DejaVu Sans"/>
        <family val="2"/>
      </rPr>
      <t xml:space="preserve">구성이 달라지는 </t>
    </r>
    <r>
      <rPr>
        <b val="true"/>
        <sz val="11"/>
        <color theme="1"/>
        <rFont val="Arial"/>
        <family val="0"/>
        <charset val="1"/>
      </rPr>
      <t xml:space="preserve">9</t>
    </r>
    <r>
      <rPr>
        <b val="true"/>
        <sz val="11"/>
        <color theme="1"/>
        <rFont val="DejaVu Sans"/>
        <family val="2"/>
      </rPr>
      <t xml:space="preserve">회 촬영으로 적용합니다</t>
    </r>
    <r>
      <rPr>
        <b val="true"/>
        <sz val="11"/>
        <color theme="1"/>
        <rFont val="Arial"/>
        <family val="0"/>
        <charset val="1"/>
      </rPr>
      <t xml:space="preserve">.</t>
    </r>
  </si>
  <si>
    <r>
      <rPr>
        <b val="true"/>
        <sz val="11"/>
        <color theme="1"/>
        <rFont val="DejaVu Sans"/>
        <family val="2"/>
      </rPr>
      <t xml:space="preserve">이 방식은 기획 유동성과 세팅 전환 리소스를 가능한 명확하게 반영하고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기존 합의된 편당 구조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선반영 효율화 할인</t>
    </r>
    <r>
      <rPr>
        <b val="true"/>
        <sz val="11"/>
        <color theme="1"/>
        <rFont val="Arial"/>
        <family val="0"/>
        <charset val="1"/>
      </rPr>
      <t xml:space="preserve">)</t>
    </r>
    <r>
      <rPr>
        <b val="true"/>
        <sz val="11"/>
        <color theme="1"/>
        <rFont val="DejaVu Sans"/>
        <family val="2"/>
      </rPr>
      <t xml:space="preserve">를 유지하는 안입니다</t>
    </r>
    <r>
      <rPr>
        <b val="true"/>
        <sz val="11"/>
        <color theme="1"/>
        <rFont val="Arial"/>
        <family val="0"/>
        <charset val="1"/>
      </rPr>
      <t xml:space="preserve">.</t>
    </r>
  </si>
  <si>
    <r>
      <rPr>
        <b val="true"/>
        <sz val="11"/>
        <color theme="1"/>
        <rFont val="Arial"/>
        <family val="0"/>
        <charset val="1"/>
      </rPr>
      <t xml:space="preserve">[B</t>
    </r>
    <r>
      <rPr>
        <b val="true"/>
        <sz val="11"/>
        <color theme="1"/>
        <rFont val="DejaVu Sans"/>
        <family val="2"/>
      </rPr>
      <t xml:space="preserve">안</t>
    </r>
    <r>
      <rPr>
        <b val="true"/>
        <sz val="11"/>
        <color theme="1"/>
        <rFont val="Arial"/>
        <family val="0"/>
        <charset val="1"/>
      </rPr>
      <t xml:space="preserve">] </t>
    </r>
    <r>
      <rPr>
        <b val="true"/>
        <sz val="11"/>
        <color theme="1"/>
        <rFont val="DejaVu Sans"/>
        <family val="2"/>
      </rPr>
      <t xml:space="preserve">일자 기준 수용 </t>
    </r>
    <r>
      <rPr>
        <b val="true"/>
        <sz val="11"/>
        <color theme="1"/>
        <rFont val="Arial"/>
        <family val="0"/>
        <charset val="1"/>
      </rPr>
      <t xml:space="preserve">+ </t>
    </r>
    <r>
      <rPr>
        <b val="true"/>
        <sz val="11"/>
        <color theme="1"/>
        <rFont val="DejaVu Sans"/>
        <family val="2"/>
      </rPr>
      <t xml:space="preserve">일당 단가 상향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DejaVu Sans"/>
        <family val="2"/>
      </rPr>
      <t xml:space="preserve">효율화 할인 복원</t>
    </r>
    <r>
      <rPr>
        <b val="true"/>
        <sz val="11"/>
        <color theme="1"/>
        <rFont val="Arial"/>
        <family val="0"/>
        <charset val="1"/>
      </rPr>
      <t xml:space="preserve">)</t>
    </r>
  </si>
  <si>
    <r>
      <rPr>
        <b val="true"/>
        <sz val="11"/>
        <color theme="1"/>
        <rFont val="DejaVu Sans"/>
        <family val="2"/>
      </rPr>
      <t xml:space="preserve">국순당 측 제안하신 일자 기준 정산을 수용하되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선반영된 효율화 할인을 복원하여 일당 </t>
    </r>
    <r>
      <rPr>
        <b val="true"/>
        <sz val="11"/>
        <color theme="1"/>
        <rFont val="Arial"/>
        <family val="0"/>
        <charset val="1"/>
      </rPr>
      <t xml:space="preserve">800,000</t>
    </r>
    <r>
      <rPr>
        <b val="true"/>
        <sz val="11"/>
        <color theme="1"/>
        <rFont val="DejaVu Sans"/>
        <family val="2"/>
      </rPr>
      <t xml:space="preserve">원으로 산정합니다</t>
    </r>
    <r>
      <rPr>
        <b val="true"/>
        <sz val="11"/>
        <color theme="1"/>
        <rFont val="Arial"/>
        <family val="0"/>
        <charset val="1"/>
      </rPr>
      <t xml:space="preserve">.</t>
    </r>
  </si>
  <si>
    <r>
      <rPr>
        <b val="true"/>
        <sz val="11"/>
        <color theme="1"/>
        <rFont val="DejaVu Sans"/>
        <family val="2"/>
      </rPr>
      <t xml:space="preserve">회계</t>
    </r>
    <r>
      <rPr>
        <b val="true"/>
        <sz val="11"/>
        <color theme="1"/>
        <rFont val="Arial"/>
        <family val="0"/>
        <charset val="1"/>
      </rPr>
      <t xml:space="preserve">·</t>
    </r>
    <r>
      <rPr>
        <b val="true"/>
        <sz val="11"/>
        <color theme="1"/>
        <rFont val="DejaVu Sans"/>
        <family val="2"/>
      </rPr>
      <t xml:space="preserve">운영 측면에서 단순</t>
    </r>
    <r>
      <rPr>
        <b val="true"/>
        <sz val="11"/>
        <color theme="1"/>
        <rFont val="Arial"/>
        <family val="0"/>
        <charset val="1"/>
      </rPr>
      <t xml:space="preserve">/</t>
    </r>
    <r>
      <rPr>
        <b val="true"/>
        <sz val="11"/>
        <color theme="1"/>
        <rFont val="DejaVu Sans"/>
        <family val="2"/>
      </rPr>
      <t xml:space="preserve">명료하며</t>
    </r>
    <r>
      <rPr>
        <b val="true"/>
        <sz val="11"/>
        <color theme="1"/>
        <rFont val="Arial"/>
        <family val="0"/>
        <charset val="1"/>
      </rPr>
      <t xml:space="preserve">, </t>
    </r>
    <r>
      <rPr>
        <b val="true"/>
        <sz val="11"/>
        <color theme="1"/>
        <rFont val="DejaVu Sans"/>
        <family val="2"/>
      </rPr>
      <t xml:space="preserve">중복 할인을 방지하는 안입니다</t>
    </r>
    <r>
      <rPr>
        <b val="true"/>
        <sz val="11"/>
        <color theme="1"/>
        <rFont val="Arial"/>
        <family val="0"/>
        <charset val="1"/>
      </rPr>
      <t xml:space="preserve">.</t>
    </r>
  </si>
  <si>
    <r>
      <rPr>
        <b val="true"/>
        <sz val="13"/>
        <color theme="1"/>
        <rFont val="Arial"/>
        <family val="0"/>
        <charset val="1"/>
      </rPr>
      <t xml:space="preserve">26</t>
    </r>
    <r>
      <rPr>
        <b val="true"/>
        <sz val="13"/>
        <color theme="1"/>
        <rFont val="DejaVu Sans"/>
        <family val="2"/>
      </rPr>
      <t xml:space="preserve">년도 운영예산안 </t>
    </r>
    <r>
      <rPr>
        <b val="true"/>
        <sz val="13"/>
        <color theme="1"/>
        <rFont val="Arial"/>
        <family val="0"/>
        <charset val="1"/>
      </rPr>
      <t xml:space="preserve">/ </t>
    </r>
    <r>
      <rPr>
        <b val="true"/>
        <sz val="13"/>
        <color theme="1"/>
        <rFont val="DejaVu Sans"/>
        <family val="2"/>
      </rPr>
      <t xml:space="preserve">협의중</t>
    </r>
  </si>
  <si>
    <t xml:space="preserve">최초 청구</t>
  </si>
  <si>
    <t xml:space="preserve">디자인비</t>
  </si>
  <si>
    <t xml:space="preserve">▼정기▼</t>
  </si>
  <si>
    <r>
      <rPr>
        <sz val="11"/>
        <color theme="1"/>
        <rFont val="Noto Sans"/>
        <family val="0"/>
        <charset val="1"/>
      </rPr>
      <t xml:space="preserve">AI</t>
    </r>
    <r>
      <rPr>
        <sz val="11"/>
        <color theme="1"/>
        <rFont val="DejaVu Sans"/>
        <family val="2"/>
      </rPr>
      <t xml:space="preserve">스터디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홍보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이벤트성 콘텐츠 등 제작 지원</t>
    </r>
  </si>
  <si>
    <r>
      <rPr>
        <sz val="11"/>
        <color theme="1"/>
        <rFont val="DejaVu Sans"/>
        <family val="2"/>
      </rPr>
      <t xml:space="preserve">매월 기본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DejaVu Sans"/>
        <family val="2"/>
      </rPr>
      <t xml:space="preserve">건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DejaVu Sans"/>
        <family val="2"/>
      </rPr>
      <t xml:space="preserve">추가 시 개별 단가 적용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DejaVu Sans"/>
        <family val="2"/>
      </rPr>
      <t xml:space="preserve">미진행 시 이월</t>
    </r>
    <r>
      <rPr>
        <sz val="11"/>
        <color theme="1"/>
        <rFont val="Calibri"/>
        <family val="0"/>
        <charset val="1"/>
      </rPr>
      <t xml:space="preserve">) 
AI </t>
    </r>
    <r>
      <rPr>
        <sz val="11"/>
        <color theme="1"/>
        <rFont val="DejaVu Sans"/>
        <family val="2"/>
      </rPr>
      <t xml:space="preserve">스터디 진행에 대한 리소스 포함</t>
    </r>
  </si>
  <si>
    <t xml:space="preserve">SUM ①+②+③</t>
  </si>
  <si>
    <r>
      <rPr>
        <b val="true"/>
        <sz val="11"/>
        <color rgb="FFFFFFFF"/>
        <rFont val="DejaVu Sans"/>
        <family val="2"/>
      </rPr>
      <t xml:space="preserve">▼비정기▼ 매월</t>
    </r>
    <r>
      <rPr>
        <b val="true"/>
        <sz val="11"/>
        <color rgb="FFFFFFFF"/>
        <rFont val="Noto Sans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진행 내용에 맞춰 추가 청구 </t>
    </r>
    <r>
      <rPr>
        <b val="true"/>
        <sz val="11"/>
        <color rgb="FFFFFFFF"/>
        <rFont val="Noto Sans"/>
        <family val="0"/>
        <charset val="1"/>
      </rPr>
      <t xml:space="preserve">(2</t>
    </r>
    <r>
      <rPr>
        <b val="true"/>
        <sz val="11"/>
        <color rgb="FFFFFFFF"/>
        <rFont val="DejaVu Sans"/>
        <family val="2"/>
      </rPr>
      <t xml:space="preserve">건 이상 시</t>
    </r>
    <r>
      <rPr>
        <b val="true"/>
        <sz val="11"/>
        <color rgb="FFFFFFFF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</si>
  <si>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AI </t>
    </r>
    <r>
      <rPr>
        <sz val="11"/>
        <color theme="1"/>
        <rFont val="DejaVu Sans"/>
        <family val="2"/>
      </rPr>
      <t xml:space="preserve">기획 지원</t>
    </r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</si>
  <si>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Noto Sans"/>
        <family val="0"/>
        <charset val="1"/>
      </rPr>
      <t xml:space="preserve">] AI </t>
    </r>
    <r>
      <rPr>
        <sz val="11"/>
        <color theme="1"/>
        <rFont val="DejaVu Sans"/>
        <family val="2"/>
      </rPr>
      <t xml:space="preserve">제작 지원</t>
    </r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</si>
  <si>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Noto Sans"/>
        <family val="0"/>
        <charset val="1"/>
      </rPr>
      <t xml:space="preserve">] AI </t>
    </r>
    <r>
      <rPr>
        <sz val="11"/>
        <color theme="1"/>
        <rFont val="DejaVu Sans"/>
        <family val="2"/>
      </rPr>
      <t xml:space="preserve">제작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DejaVu Sans"/>
        <family val="2"/>
      </rPr>
      <t xml:space="preserve">편집 지원</t>
    </r>
  </si>
  <si>
    <t xml:space="preserve">기획 및 이벤트 운영 지원</t>
  </si>
  <si>
    <t xml:space="preserve">이벤트 규모에 따라 별도 협의</t>
  </si>
  <si>
    <t xml:space="preserve">소재 제작</t>
  </si>
  <si>
    <t xml:space="preserve">피드 기준 소재 제작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</si>
</sst>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₩#,##0"/>
    <numFmt numFmtId="167" formatCode="0.00%"/>
    <numFmt numFmtId="168" formatCode="@"/>
  </numFmts>
  <fonts count="5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3"/>
      <color theme="1"/>
      <name val="DejaVu Sans"/>
      <family val="2"/>
    </font>
    <font>
      <b val="true"/>
      <u val="single"/>
      <sz val="11"/>
      <color rgb="FFCC0000"/>
      <name val="DejaVu Sans"/>
      <family val="2"/>
    </font>
    <font>
      <b val="true"/>
      <sz val="11"/>
      <color rgb="FF000000"/>
      <name val="DejaVu Sans"/>
      <family val="2"/>
    </font>
    <font>
      <sz val="11"/>
      <color theme="1"/>
      <name val="DejaVu Sans"/>
      <family val="2"/>
    </font>
    <font>
      <sz val="11"/>
      <color theme="1"/>
      <name val="Noto Sans"/>
      <family val="0"/>
      <charset val="1"/>
    </font>
    <font>
      <sz val="11"/>
      <color theme="1"/>
      <name val="Calibri"/>
      <family val="0"/>
      <charset val="1"/>
    </font>
    <font>
      <sz val="11"/>
      <color rgb="FFFF0000"/>
      <name val="Noto Sans"/>
      <family val="0"/>
      <charset val="1"/>
    </font>
    <font>
      <sz val="11"/>
      <color rgb="FFFF0000"/>
      <name val="DejaVu Sans"/>
      <family val="2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Noto Sans"/>
      <family val="0"/>
      <charset val="1"/>
    </font>
    <font>
      <sz val="11"/>
      <color rgb="FFFFFFFF"/>
      <name val="Calibri"/>
      <family val="0"/>
      <charset val="1"/>
    </font>
    <font>
      <sz val="11"/>
      <color rgb="FF000000"/>
      <name val="Noto Sans"/>
      <family val="0"/>
      <charset val="1"/>
    </font>
    <font>
      <sz val="11"/>
      <color rgb="FF000000"/>
      <name val="DejaVu Sans"/>
      <family val="2"/>
    </font>
    <font>
      <b val="true"/>
      <sz val="11"/>
      <color rgb="FF000000"/>
      <name val="Noto Sans"/>
      <family val="0"/>
      <charset val="1"/>
    </font>
    <font>
      <sz val="10"/>
      <color theme="1"/>
      <name val="Calibri"/>
      <family val="0"/>
      <charset val="1"/>
    </font>
    <font>
      <sz val="10"/>
      <color theme="1"/>
      <name val="DejaVu Sans"/>
      <family val="2"/>
    </font>
    <font>
      <b val="true"/>
      <sz val="11"/>
      <color theme="1"/>
      <name val="DejaVu Sans"/>
      <family val="2"/>
    </font>
    <font>
      <b val="true"/>
      <sz val="11"/>
      <color theme="1"/>
      <name val="Noto Sans"/>
      <family val="0"/>
      <charset val="1"/>
    </font>
    <font>
      <i val="true"/>
      <sz val="10"/>
      <color theme="1"/>
      <name val="Calibri"/>
      <family val="0"/>
      <charset val="1"/>
    </font>
    <font>
      <i val="true"/>
      <sz val="10"/>
      <color theme="1"/>
      <name val="DejaVu Sans"/>
      <family val="2"/>
    </font>
    <font>
      <b val="true"/>
      <sz val="11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i val="true"/>
      <sz val="9"/>
      <color theme="1"/>
      <name val="DejaVu Sans"/>
      <family val="2"/>
    </font>
    <font>
      <sz val="11"/>
      <color rgb="FF000000"/>
      <name val="&quot;맑은 고딕&quot;"/>
      <family val="0"/>
      <charset val="1"/>
    </font>
    <font>
      <sz val="10"/>
      <color rgb="FF000000"/>
      <name val="&quot;맑은 고딕&quot;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theme="1"/>
      <name val="Arial"/>
      <family val="0"/>
      <charset val="1"/>
    </font>
    <font>
      <i val="true"/>
      <sz val="11"/>
      <color theme="1"/>
      <name val="DejaVu Sans"/>
      <family val="2"/>
    </font>
    <font>
      <b val="true"/>
      <sz val="11"/>
      <color rgb="FF3D85C6"/>
      <name val="Arial"/>
      <family val="0"/>
      <charset val="1"/>
    </font>
    <font>
      <b val="true"/>
      <sz val="11"/>
      <color rgb="FF3D85C6"/>
      <name val="DejaVu Sans"/>
      <family val="2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b val="true"/>
      <sz val="11"/>
      <color rgb="FFFF0000"/>
      <name val="Arial"/>
      <family val="0"/>
      <charset val="1"/>
    </font>
    <font>
      <b val="true"/>
      <sz val="11"/>
      <color rgb="FF0000FF"/>
      <name val="DejaVu Sans"/>
      <family val="2"/>
    </font>
    <font>
      <sz val="11"/>
      <color rgb="FF0000FF"/>
      <name val="Arial"/>
      <family val="0"/>
      <charset val="1"/>
    </font>
    <font>
      <b val="true"/>
      <sz val="11"/>
      <color rgb="FFFF0000"/>
      <name val="DejaVu Sans"/>
      <family val="2"/>
    </font>
    <font>
      <sz val="11"/>
      <color rgb="FF0000FF"/>
      <name val="DejaVu Sans"/>
      <family val="2"/>
    </font>
    <font>
      <b val="true"/>
      <sz val="12"/>
      <color theme="1"/>
      <name val="DejaVu Sans"/>
      <family val="2"/>
    </font>
    <font>
      <b val="true"/>
      <sz val="9"/>
      <color rgb="FF000000"/>
      <name val="DejaVu Sans"/>
      <family val="2"/>
    </font>
    <font>
      <b val="true"/>
      <sz val="9"/>
      <color rgb="FF000000"/>
      <name val="&quot;맑은 고딕&quot;"/>
      <family val="0"/>
      <charset val="1"/>
    </font>
    <font>
      <sz val="9"/>
      <color rgb="FF000000"/>
      <name val="&quot;맑은 고딕&quot;"/>
      <family val="0"/>
      <charset val="1"/>
    </font>
    <font>
      <sz val="9"/>
      <color rgb="FF000000"/>
      <name val="DejaVu Sans"/>
      <family val="2"/>
    </font>
    <font>
      <b val="true"/>
      <sz val="9"/>
      <color rgb="FFFF00FF"/>
      <name val="&quot;맑은 고딕&quot;"/>
      <family val="0"/>
      <charset val="1"/>
    </font>
    <font>
      <b val="true"/>
      <sz val="12"/>
      <color theme="1"/>
      <name val="Arial"/>
      <family val="0"/>
      <charset val="1"/>
    </font>
    <font>
      <sz val="11"/>
      <color rgb="FF4A86E8"/>
      <name val="Arial"/>
      <family val="0"/>
      <charset val="1"/>
    </font>
    <font>
      <sz val="11"/>
      <color rgb="FF4A86E8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CCCCC"/>
      </patternFill>
    </fill>
    <fill>
      <patternFill patternType="solid">
        <fgColor rgb="FFF3F3F3"/>
        <bgColor rgb="FFEFEFEF"/>
      </patternFill>
    </fill>
    <fill>
      <patternFill patternType="solid">
        <fgColor rgb="FF4472C4"/>
        <bgColor rgb="FF3D85C6"/>
      </patternFill>
    </fill>
    <fill>
      <patternFill patternType="solid">
        <fgColor rgb="FFFFF2CC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9DAF8"/>
      </patternFill>
    </fill>
    <fill>
      <patternFill patternType="solid">
        <fgColor rgb="FFEFEFEF"/>
        <bgColor rgb="FFF3F3F3"/>
      </patternFill>
    </fill>
    <fill>
      <patternFill patternType="solid">
        <fgColor rgb="FF1F3864"/>
        <bgColor rgb="FF333333"/>
      </patternFill>
    </fill>
    <fill>
      <patternFill patternType="solid">
        <fgColor rgb="FFB7B7B7"/>
        <bgColor rgb="FFCC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 diagonalUp="false" diagonalDown="false">
      <left style="thin">
        <color rgb="FFB7B7B7"/>
      </left>
      <right/>
      <top/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/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7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8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8" fillId="8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8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8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1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CCCCCC"/>
      <rgbColor rgb="FFFF99CC"/>
      <rgbColor rgb="FFCC99FF"/>
      <rgbColor rgb="FFF9CB9C"/>
      <rgbColor rgb="FF4472C4"/>
      <rgbColor rgb="FF33CCCC"/>
      <rgbColor rgb="FF99CC00"/>
      <rgbColor rgb="FFFFCC00"/>
      <rgbColor rgb="FFFF9900"/>
      <rgbColor rgb="FFFF6600"/>
      <rgbColor rgb="FF4A86E8"/>
      <rgbColor rgb="FF999999"/>
      <rgbColor rgb="FF1F3864"/>
      <rgbColor rgb="FF3D85C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2026_01" displayName="A2026_01" ref="B4:H11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2.xml><?xml version="1.0" encoding="utf-8"?>
<table xmlns="http://schemas.openxmlformats.org/spreadsheetml/2006/main" id="2" name="A안" displayName="A안" ref="B4:H13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3.xml><?xml version="1.0" encoding="utf-8"?>
<table xmlns="http://schemas.openxmlformats.org/spreadsheetml/2006/main" id="3" name="A안_2" displayName="A안_2" ref="B4:H13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4.xml><?xml version="1.0" encoding="utf-8"?>
<table xmlns="http://schemas.openxmlformats.org/spreadsheetml/2006/main" id="4" name="A안_3" displayName="A안_3" ref="B4:H11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5.xml><?xml version="1.0" encoding="utf-8"?>
<table xmlns="http://schemas.openxmlformats.org/spreadsheetml/2006/main" id="5" name="A안_4" displayName="A안_4" ref="B4:H11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6.xml><?xml version="1.0" encoding="utf-8"?>
<table xmlns="http://schemas.openxmlformats.org/spreadsheetml/2006/main" id="6" name="A안_5" displayName="A안_5" ref="B4:H11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7.xml><?xml version="1.0" encoding="utf-8"?>
<table xmlns="http://schemas.openxmlformats.org/spreadsheetml/2006/main" id="7" name="A안_6" displayName="A안_6" ref="B4:H11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8.xml><?xml version="1.0" encoding="utf-8"?>
<table xmlns="http://schemas.openxmlformats.org/spreadsheetml/2006/main" id="8" name="B안" displayName="B안" ref="B21:H29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ables/table9.xml><?xml version="1.0" encoding="utf-8"?>
<table xmlns="http://schemas.openxmlformats.org/spreadsheetml/2006/main" id="9" name="Table_1" displayName="Table_1" ref="C28:C29" headerRowCount="0" totalsRowCount="0" totalsRowShown="0">
  <tableColumns count="1">
    <tableColumn id="1" name="Column1"/>
  </tableColumns>
</table>
</file>

<file path=xl/tables/table10.xml><?xml version="1.0" encoding="utf-8"?>
<table xmlns="http://schemas.openxmlformats.org/spreadsheetml/2006/main" id="10" name="Table_2" displayName="Table_2" ref="C28:C29" headerRowCount="0" totalsRowCount="0" totalsRowShown="0">
  <tableColumns count="1">
    <tableColumn id="1" name="Column1"/>
  </tableColumns>
</table>
</file>

<file path=xl/tables/table11.xml><?xml version="1.0" encoding="utf-8"?>
<table xmlns="http://schemas.openxmlformats.org/spreadsheetml/2006/main" id="11" name="Table_3" displayName="Table_3" ref="C28:C29" headerRowCount="0" totalsRowCount="0" totalsRowShown="0">
  <tableColumns count="1">
    <tableColumn id="1" name="Column1"/>
  </tableColumns>
</table>
</file>

<file path=xl/tables/table12.xml><?xml version="1.0" encoding="utf-8"?>
<table xmlns="http://schemas.openxmlformats.org/spreadsheetml/2006/main" id="12" name="Table_4" displayName="Table_4" ref="C28:C29" headerRowCount="0" totalsRowCount="0" totalsRowShown="0">
  <tableColumns count="1">
    <tableColumn id="1" name="Column1"/>
  </tableColumns>
</table>
</file>

<file path=xl/tables/table13.xml><?xml version="1.0" encoding="utf-8"?>
<table xmlns="http://schemas.openxmlformats.org/spreadsheetml/2006/main" id="13" name="비용청구분__2" displayName="비용청구분__2" ref="B4:H12" headerRowCount="1" totalsRowCount="0" totalsRowShown="0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otion.so/yollsugi/30002b0e30a981f689d1cf98d915f97a?source=copy_lin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B9C"/>
    <outlinePr summaryBelow="0"/>
    <pageSetUpPr fitToPage="false"/>
  </sheetPr>
  <dimension ref="A1:AD10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8.75"/>
    <col collapsed="false" customWidth="true" hidden="false" outlineLevel="0" max="3" min="3" style="0" width="18.25"/>
    <col collapsed="false" customWidth="true" hidden="false" outlineLevel="0" max="4" min="4" style="0" width="26.63"/>
    <col collapsed="false" customWidth="true" hidden="false" outlineLevel="0" max="8" min="5" style="0" width="5.25"/>
    <col collapsed="false" customWidth="true" hidden="false" outlineLevel="0" max="10" min="9" style="0" width="14.13"/>
    <col collapsed="false" customWidth="true" hidden="false" outlineLevel="0" max="11" min="11" style="0" width="64.5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.7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.75" hidden="false" customHeight="fals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6</v>
      </c>
      <c r="I5" s="4" t="s">
        <v>8</v>
      </c>
      <c r="J5" s="4" t="s">
        <v>9</v>
      </c>
      <c r="K5" s="4" t="s">
        <v>10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.75" hidden="false" customHeight="true" outlineLevel="0" collapsed="false">
      <c r="A6" s="1"/>
      <c r="B6" s="5" t="s">
        <v>11</v>
      </c>
      <c r="C6" s="6" t="s">
        <v>12</v>
      </c>
      <c r="D6" s="7" t="s">
        <v>13</v>
      </c>
      <c r="E6" s="8" t="n">
        <v>1</v>
      </c>
      <c r="F6" s="8" t="s">
        <v>14</v>
      </c>
      <c r="G6" s="8" t="n">
        <v>1</v>
      </c>
      <c r="H6" s="7" t="s">
        <v>15</v>
      </c>
      <c r="I6" s="9" t="n">
        <v>200000</v>
      </c>
      <c r="J6" s="9" t="n">
        <f aca="false">E6*G6*I6</f>
        <v>200000</v>
      </c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.75" hidden="false" customHeight="false" outlineLevel="0" collapsed="false">
      <c r="A7" s="1"/>
      <c r="B7" s="5"/>
      <c r="C7" s="6"/>
      <c r="D7" s="7" t="s">
        <v>16</v>
      </c>
      <c r="E7" s="7" t="n">
        <v>1</v>
      </c>
      <c r="F7" s="8" t="s">
        <v>14</v>
      </c>
      <c r="G7" s="7" t="n">
        <v>3</v>
      </c>
      <c r="H7" s="7" t="s">
        <v>17</v>
      </c>
      <c r="I7" s="9" t="n">
        <v>600000</v>
      </c>
      <c r="J7" s="9" t="n">
        <f aca="false">E7*G7*I7</f>
        <v>1800000</v>
      </c>
      <c r="K7" s="11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.75" hidden="false" customHeight="false" outlineLevel="0" collapsed="false">
      <c r="A8" s="1"/>
      <c r="B8" s="12" t="s">
        <v>19</v>
      </c>
      <c r="C8" s="12"/>
      <c r="D8" s="12"/>
      <c r="E8" s="12"/>
      <c r="F8" s="12"/>
      <c r="G8" s="12"/>
      <c r="H8" s="12"/>
      <c r="I8" s="12"/>
      <c r="J8" s="13" t="n">
        <f aca="false">SUM(J6:J7)</f>
        <v>2000000</v>
      </c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.75" hidden="false" customHeight="false" outlineLevel="0" collapsed="false">
      <c r="A10" s="1"/>
      <c r="B10" s="15" t="s">
        <v>20</v>
      </c>
      <c r="C10" s="15"/>
      <c r="D10" s="15"/>
      <c r="E10" s="15"/>
      <c r="F10" s="15"/>
      <c r="G10" s="15"/>
      <c r="H10" s="15"/>
      <c r="I10" s="15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.75" hidden="false" customHeight="false" outlineLevel="0" collapsed="false">
      <c r="A11" s="1"/>
      <c r="B11" s="17" t="s">
        <v>21</v>
      </c>
      <c r="C11" s="18"/>
      <c r="D11" s="18"/>
      <c r="E11" s="18"/>
      <c r="F11" s="18"/>
      <c r="G11" s="18"/>
      <c r="H11" s="18"/>
      <c r="I11" s="18"/>
      <c r="J11" s="18"/>
      <c r="K11" s="1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.75" hidden="false" customHeight="false" outlineLevel="0" collapsed="false">
      <c r="A12" s="1"/>
      <c r="B12" s="4" t="s">
        <v>2</v>
      </c>
      <c r="C12" s="4" t="s">
        <v>3</v>
      </c>
      <c r="D12" s="4" t="s">
        <v>4</v>
      </c>
      <c r="E12" s="4" t="s">
        <v>22</v>
      </c>
      <c r="F12" s="4" t="s">
        <v>6</v>
      </c>
      <c r="G12" s="4" t="s">
        <v>23</v>
      </c>
      <c r="H12" s="4" t="s">
        <v>6</v>
      </c>
      <c r="I12" s="19" t="s">
        <v>24</v>
      </c>
      <c r="J12" s="4" t="s">
        <v>9</v>
      </c>
      <c r="K12" s="4" t="s">
        <v>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.75" hidden="false" customHeight="true" outlineLevel="0" collapsed="false">
      <c r="A13" s="1"/>
      <c r="B13" s="7" t="s">
        <v>25</v>
      </c>
      <c r="C13" s="20" t="s">
        <v>26</v>
      </c>
      <c r="D13" s="7" t="s">
        <v>27</v>
      </c>
      <c r="E13" s="7" t="n">
        <v>1</v>
      </c>
      <c r="F13" s="7" t="s">
        <v>28</v>
      </c>
      <c r="G13" s="7" t="n">
        <v>4</v>
      </c>
      <c r="H13" s="8" t="s">
        <v>29</v>
      </c>
      <c r="I13" s="9" t="n">
        <v>50000</v>
      </c>
      <c r="J13" s="9" t="n">
        <f aca="false">E13*G13*I13</f>
        <v>200000</v>
      </c>
      <c r="K13" s="21" t="s">
        <v>30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.75" hidden="false" customHeight="false" outlineLevel="0" collapsed="false">
      <c r="A14" s="1"/>
      <c r="B14" s="7"/>
      <c r="C14" s="7"/>
      <c r="D14" s="7" t="s">
        <v>31</v>
      </c>
      <c r="E14" s="7" t="n">
        <v>1</v>
      </c>
      <c r="F14" s="7" t="s">
        <v>28</v>
      </c>
      <c r="G14" s="7" t="n">
        <v>3</v>
      </c>
      <c r="H14" s="8" t="s">
        <v>29</v>
      </c>
      <c r="I14" s="9" t="n">
        <v>50000</v>
      </c>
      <c r="J14" s="9" t="n">
        <f aca="false">E14*G14*I14</f>
        <v>150000</v>
      </c>
      <c r="K14" s="21" t="s">
        <v>32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.75" hidden="false" customHeight="false" outlineLevel="0" collapsed="false">
      <c r="A15" s="1"/>
      <c r="B15" s="7"/>
      <c r="C15" s="7"/>
      <c r="D15" s="7" t="s">
        <v>33</v>
      </c>
      <c r="E15" s="7" t="n">
        <v>2</v>
      </c>
      <c r="F15" s="7" t="s">
        <v>28</v>
      </c>
      <c r="G15" s="7" t="n">
        <v>6</v>
      </c>
      <c r="H15" s="8" t="s">
        <v>29</v>
      </c>
      <c r="I15" s="9" t="n">
        <v>50000</v>
      </c>
      <c r="J15" s="9" t="n">
        <f aca="false">E15*G15*I15</f>
        <v>600000</v>
      </c>
      <c r="K15" s="21" t="s">
        <v>34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.75" hidden="false" customHeight="false" outlineLevel="0" collapsed="false">
      <c r="A16" s="1"/>
      <c r="B16" s="7"/>
      <c r="C16" s="7"/>
      <c r="D16" s="7" t="s">
        <v>35</v>
      </c>
      <c r="E16" s="7" t="n">
        <v>1</v>
      </c>
      <c r="F16" s="7" t="s">
        <v>28</v>
      </c>
      <c r="G16" s="7" t="n">
        <v>3</v>
      </c>
      <c r="H16" s="8" t="s">
        <v>29</v>
      </c>
      <c r="I16" s="9" t="n">
        <v>50000</v>
      </c>
      <c r="J16" s="9" t="n">
        <f aca="false">E16*G16*I16</f>
        <v>150000</v>
      </c>
      <c r="K16" s="21" t="s">
        <v>36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.75" hidden="false" customHeight="false" outlineLevel="0" collapsed="false">
      <c r="A17" s="1"/>
      <c r="B17" s="7"/>
      <c r="C17" s="7"/>
      <c r="D17" s="7" t="s">
        <v>37</v>
      </c>
      <c r="E17" s="7" t="n">
        <v>1</v>
      </c>
      <c r="F17" s="7" t="s">
        <v>28</v>
      </c>
      <c r="G17" s="7" t="n">
        <v>4</v>
      </c>
      <c r="H17" s="8" t="s">
        <v>29</v>
      </c>
      <c r="I17" s="9" t="n">
        <v>50000</v>
      </c>
      <c r="J17" s="9" t="n">
        <f aca="false">E17*G17*I17</f>
        <v>200000</v>
      </c>
      <c r="K17" s="21" t="s">
        <v>38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30" hidden="false" customHeight="true" outlineLevel="0" collapsed="false">
      <c r="A18" s="1"/>
      <c r="B18" s="7"/>
      <c r="C18" s="7"/>
      <c r="D18" s="7" t="s">
        <v>39</v>
      </c>
      <c r="E18" s="7" t="n">
        <v>3</v>
      </c>
      <c r="F18" s="7" t="s">
        <v>28</v>
      </c>
      <c r="G18" s="7" t="n">
        <v>2</v>
      </c>
      <c r="H18" s="8" t="s">
        <v>29</v>
      </c>
      <c r="I18" s="9" t="n">
        <v>50000</v>
      </c>
      <c r="J18" s="9" t="n">
        <f aca="false">E18*G18*I18</f>
        <v>300000</v>
      </c>
      <c r="K18" s="22" t="s">
        <v>40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30" hidden="false" customHeight="true" outlineLevel="0" collapsed="false">
      <c r="A19" s="1"/>
      <c r="B19" s="7"/>
      <c r="C19" s="7"/>
      <c r="D19" s="7" t="s">
        <v>41</v>
      </c>
      <c r="E19" s="23" t="n">
        <v>2</v>
      </c>
      <c r="F19" s="7" t="s">
        <v>28</v>
      </c>
      <c r="G19" s="7" t="n">
        <v>5.5</v>
      </c>
      <c r="H19" s="8" t="s">
        <v>29</v>
      </c>
      <c r="I19" s="9" t="n">
        <v>50000</v>
      </c>
      <c r="J19" s="9" t="n">
        <f aca="false">E19*G19*I19</f>
        <v>550000</v>
      </c>
      <c r="K19" s="21" t="s">
        <v>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30" hidden="false" customHeight="true" outlineLevel="0" collapsed="false">
      <c r="A20" s="1"/>
      <c r="B20" s="7"/>
      <c r="C20" s="7"/>
      <c r="D20" s="7" t="s">
        <v>43</v>
      </c>
      <c r="E20" s="23" t="n">
        <v>2</v>
      </c>
      <c r="F20" s="7" t="s">
        <v>28</v>
      </c>
      <c r="G20" s="7" t="n">
        <v>5.5</v>
      </c>
      <c r="H20" s="8" t="s">
        <v>29</v>
      </c>
      <c r="I20" s="9" t="n">
        <v>50000</v>
      </c>
      <c r="J20" s="9" t="n">
        <f aca="false">E20*G20*I20</f>
        <v>550000</v>
      </c>
      <c r="K20" s="2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false" outlineLevel="0" collapsed="false">
      <c r="A21" s="1"/>
      <c r="B21" s="7"/>
      <c r="C21" s="24" t="s">
        <v>44</v>
      </c>
      <c r="D21" s="24"/>
      <c r="E21" s="24"/>
      <c r="F21" s="24"/>
      <c r="G21" s="24"/>
      <c r="H21" s="24"/>
      <c r="I21" s="24"/>
      <c r="J21" s="13" t="n">
        <f aca="false">SUM(J13:J20)</f>
        <v>2700000</v>
      </c>
      <c r="K21" s="25" t="s">
        <v>45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false" outlineLevel="0" collapsed="false">
      <c r="A22" s="1"/>
      <c r="B22" s="7"/>
      <c r="C22" s="24" t="s">
        <v>46</v>
      </c>
      <c r="D22" s="24"/>
      <c r="E22" s="24"/>
      <c r="F22" s="24"/>
      <c r="G22" s="24"/>
      <c r="H22" s="24"/>
      <c r="I22" s="24"/>
      <c r="J22" s="26" t="n">
        <f aca="false">J21*2-50000</f>
        <v>5350000</v>
      </c>
      <c r="K22" s="27" t="s">
        <v>47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B23" s="7"/>
      <c r="C23" s="28" t="s">
        <v>48</v>
      </c>
      <c r="D23" s="29" t="s">
        <v>49</v>
      </c>
      <c r="E23" s="29"/>
      <c r="F23" s="29"/>
      <c r="G23" s="29"/>
      <c r="H23" s="29"/>
      <c r="I23" s="29"/>
      <c r="J23" s="29"/>
      <c r="K23" s="2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false" outlineLevel="0" collapsed="false">
      <c r="A24" s="1"/>
      <c r="B24" s="7"/>
      <c r="C24" s="7"/>
      <c r="D24" s="29"/>
      <c r="E24" s="29"/>
      <c r="F24" s="29"/>
      <c r="G24" s="29"/>
      <c r="H24" s="29"/>
      <c r="I24" s="29"/>
      <c r="J24" s="29"/>
      <c r="K24" s="2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false" outlineLevel="0" collapsed="false">
      <c r="A25" s="1"/>
      <c r="B25" s="7"/>
      <c r="C25" s="7"/>
      <c r="D25" s="29"/>
      <c r="E25" s="29"/>
      <c r="F25" s="29"/>
      <c r="G25" s="29"/>
      <c r="H25" s="29"/>
      <c r="I25" s="29"/>
      <c r="J25" s="29"/>
      <c r="K25" s="2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false" outlineLevel="0" collapsed="false">
      <c r="A26" s="1"/>
      <c r="B26" s="7"/>
      <c r="C26" s="7"/>
      <c r="D26" s="29"/>
      <c r="E26" s="29"/>
      <c r="F26" s="29"/>
      <c r="G26" s="29"/>
      <c r="H26" s="29"/>
      <c r="I26" s="29"/>
      <c r="J26" s="29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false" outlineLevel="0" collapsed="false">
      <c r="A27" s="1"/>
      <c r="B27" s="7"/>
      <c r="C27" s="30" t="s">
        <v>50</v>
      </c>
      <c r="D27" s="29"/>
      <c r="E27" s="29"/>
      <c r="F27" s="29"/>
      <c r="G27" s="29"/>
      <c r="H27" s="29"/>
      <c r="I27" s="29"/>
      <c r="J27" s="29"/>
      <c r="K27" s="2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B28" s="7"/>
      <c r="C28" s="31" t="s">
        <v>51</v>
      </c>
      <c r="D28" s="7" t="s">
        <v>52</v>
      </c>
      <c r="E28" s="7" t="n">
        <v>1</v>
      </c>
      <c r="F28" s="7" t="s">
        <v>28</v>
      </c>
      <c r="G28" s="7" t="n">
        <v>4</v>
      </c>
      <c r="H28" s="8" t="s">
        <v>29</v>
      </c>
      <c r="I28" s="32" t="n">
        <v>50000</v>
      </c>
      <c r="J28" s="9" t="n">
        <f aca="false">E28*G28*I28</f>
        <v>200000</v>
      </c>
      <c r="K28" s="33" t="s">
        <v>53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false" outlineLevel="0" collapsed="false">
      <c r="A29" s="1"/>
      <c r="B29" s="7"/>
      <c r="C29" s="7"/>
      <c r="D29" s="7" t="s">
        <v>33</v>
      </c>
      <c r="E29" s="7" t="n">
        <v>2</v>
      </c>
      <c r="F29" s="7" t="s">
        <v>28</v>
      </c>
      <c r="G29" s="7" t="n">
        <v>6</v>
      </c>
      <c r="H29" s="8" t="s">
        <v>29</v>
      </c>
      <c r="I29" s="32" t="n">
        <v>50000</v>
      </c>
      <c r="J29" s="9" t="n">
        <f aca="false">E29*G29*I29</f>
        <v>600000</v>
      </c>
      <c r="K29" s="34" t="s">
        <v>54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false" outlineLevel="0" collapsed="false">
      <c r="A30" s="1"/>
      <c r="B30" s="7"/>
      <c r="C30" s="7"/>
      <c r="D30" s="7" t="s">
        <v>55</v>
      </c>
      <c r="E30" s="7" t="n">
        <v>1</v>
      </c>
      <c r="F30" s="7" t="s">
        <v>28</v>
      </c>
      <c r="G30" s="7" t="n">
        <v>3</v>
      </c>
      <c r="H30" s="8" t="s">
        <v>29</v>
      </c>
      <c r="I30" s="32" t="n">
        <v>50000</v>
      </c>
      <c r="J30" s="9" t="n">
        <f aca="false">E30*G30*I30</f>
        <v>150000</v>
      </c>
      <c r="K30" s="3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false" outlineLevel="0" collapsed="false">
      <c r="A31" s="1"/>
      <c r="B31" s="7"/>
      <c r="C31" s="7"/>
      <c r="D31" s="7" t="s">
        <v>56</v>
      </c>
      <c r="E31" s="7" t="n">
        <v>1</v>
      </c>
      <c r="F31" s="7" t="s">
        <v>28</v>
      </c>
      <c r="G31" s="7" t="n">
        <v>6</v>
      </c>
      <c r="H31" s="8" t="s">
        <v>29</v>
      </c>
      <c r="I31" s="32" t="n">
        <v>50000</v>
      </c>
      <c r="J31" s="9" t="n">
        <f aca="false">E31*G31*I31</f>
        <v>300000</v>
      </c>
      <c r="K31" s="33" t="s">
        <v>57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false" outlineLevel="0" collapsed="false">
      <c r="A32" s="1"/>
      <c r="B32" s="7"/>
      <c r="C32" s="31"/>
      <c r="D32" s="7" t="s">
        <v>58</v>
      </c>
      <c r="E32" s="7" t="n">
        <v>1</v>
      </c>
      <c r="F32" s="7" t="s">
        <v>28</v>
      </c>
      <c r="G32" s="7" t="n">
        <v>6</v>
      </c>
      <c r="H32" s="8" t="s">
        <v>29</v>
      </c>
      <c r="I32" s="32" t="n">
        <v>50000</v>
      </c>
      <c r="J32" s="9" t="n">
        <f aca="false">E32*G32*I32</f>
        <v>300000</v>
      </c>
      <c r="K32" s="33" t="s">
        <v>59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false" outlineLevel="0" collapsed="false">
      <c r="A33" s="1"/>
      <c r="B33" s="7"/>
      <c r="C33" s="24" t="s">
        <v>60</v>
      </c>
      <c r="D33" s="24"/>
      <c r="E33" s="24"/>
      <c r="F33" s="24"/>
      <c r="G33" s="24"/>
      <c r="H33" s="24"/>
      <c r="I33" s="24"/>
      <c r="J33" s="13" t="n">
        <f aca="false">SUM(J28:J32)</f>
        <v>1550000</v>
      </c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false" outlineLevel="0" collapsed="false">
      <c r="A34" s="1"/>
      <c r="B34" s="35" t="s">
        <v>61</v>
      </c>
      <c r="C34" s="35"/>
      <c r="D34" s="35"/>
      <c r="E34" s="35"/>
      <c r="F34" s="35"/>
      <c r="G34" s="35"/>
      <c r="H34" s="35"/>
      <c r="I34" s="35"/>
      <c r="J34" s="36" t="n">
        <v>200000</v>
      </c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B35" s="37" t="s">
        <v>62</v>
      </c>
      <c r="C35" s="38" t="s">
        <v>63</v>
      </c>
      <c r="D35" s="39" t="s">
        <v>64</v>
      </c>
      <c r="E35" s="39"/>
      <c r="F35" s="39"/>
      <c r="G35" s="39"/>
      <c r="H35" s="39"/>
      <c r="I35" s="39"/>
      <c r="J35" s="13" t="n">
        <v>400000</v>
      </c>
      <c r="K35" s="33" t="s">
        <v>65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false" outlineLevel="0" collapsed="false">
      <c r="A36" s="1"/>
      <c r="B36" s="37"/>
      <c r="C36" s="40" t="s">
        <v>66</v>
      </c>
      <c r="D36" s="39"/>
      <c r="E36" s="39"/>
      <c r="F36" s="39"/>
      <c r="G36" s="39"/>
      <c r="H36" s="39"/>
      <c r="I36" s="39"/>
      <c r="J36" s="13"/>
      <c r="K36" s="1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false" outlineLevel="0" collapsed="false">
      <c r="A37" s="1"/>
      <c r="B37" s="37"/>
      <c r="C37" s="40"/>
      <c r="D37" s="40"/>
      <c r="E37" s="39"/>
      <c r="F37" s="39"/>
      <c r="G37" s="39"/>
      <c r="H37" s="39"/>
      <c r="I37" s="39"/>
      <c r="J37" s="13"/>
      <c r="K37" s="1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false" outlineLevel="0" collapsed="false">
      <c r="A38" s="1"/>
      <c r="B38" s="37"/>
      <c r="C38" s="24" t="s">
        <v>67</v>
      </c>
      <c r="D38" s="24"/>
      <c r="E38" s="24"/>
      <c r="F38" s="24"/>
      <c r="G38" s="24"/>
      <c r="H38" s="24"/>
      <c r="I38" s="24"/>
      <c r="J38" s="13" t="n">
        <f aca="false">J35</f>
        <v>400000</v>
      </c>
      <c r="K38" s="41" t="s">
        <v>68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false" outlineLevel="0" collapsed="false">
      <c r="A39" s="1"/>
      <c r="B39" s="31"/>
      <c r="C39" s="31"/>
      <c r="D39" s="31"/>
      <c r="E39" s="31"/>
      <c r="F39" s="31"/>
      <c r="G39" s="31"/>
      <c r="H39" s="31"/>
      <c r="I39" s="31"/>
      <c r="J39" s="42"/>
      <c r="K39" s="3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false" outlineLevel="0" collapsed="false">
      <c r="A40" s="1"/>
      <c r="B40" s="43" t="s">
        <v>69</v>
      </c>
      <c r="C40" s="43"/>
      <c r="D40" s="43"/>
      <c r="E40" s="43"/>
      <c r="F40" s="43"/>
      <c r="G40" s="43"/>
      <c r="H40" s="43"/>
      <c r="I40" s="43"/>
      <c r="J40" s="44" t="n">
        <f aca="false">SUM(J22+J33+J34+J38)</f>
        <v>7500000</v>
      </c>
      <c r="K40" s="45" t="s">
        <v>70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46"/>
      <c r="J41" s="4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false" outlineLevel="0" collapsed="false">
      <c r="A42" s="1"/>
      <c r="B42" s="15" t="s">
        <v>71</v>
      </c>
      <c r="C42" s="15"/>
      <c r="D42" s="15"/>
      <c r="E42" s="15"/>
      <c r="F42" s="15"/>
      <c r="G42" s="15"/>
      <c r="H42" s="15"/>
      <c r="I42" s="15"/>
      <c r="J42" s="16"/>
      <c r="K42" s="1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false" outlineLevel="0" collapsed="false">
      <c r="A43" s="1"/>
      <c r="B43" s="17" t="s">
        <v>72</v>
      </c>
      <c r="C43" s="18"/>
      <c r="D43" s="18"/>
      <c r="E43" s="18"/>
      <c r="F43" s="18"/>
      <c r="G43" s="18"/>
      <c r="H43" s="18"/>
      <c r="I43" s="18"/>
      <c r="J43" s="18"/>
      <c r="K43" s="1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B44" s="7" t="s">
        <v>62</v>
      </c>
      <c r="C44" s="47" t="s">
        <v>73</v>
      </c>
      <c r="D44" s="7" t="s">
        <v>74</v>
      </c>
      <c r="E44" s="7" t="n">
        <v>1</v>
      </c>
      <c r="F44" s="8" t="s">
        <v>14</v>
      </c>
      <c r="G44" s="7" t="n">
        <v>1</v>
      </c>
      <c r="H44" s="7" t="s">
        <v>15</v>
      </c>
      <c r="I44" s="9" t="n">
        <v>200000</v>
      </c>
      <c r="J44" s="9" t="n">
        <f aca="false">E44*G44*I44</f>
        <v>200000</v>
      </c>
      <c r="K44" s="33" t="s">
        <v>75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false" outlineLevel="0" collapsed="false">
      <c r="A45" s="1"/>
      <c r="B45" s="7"/>
      <c r="C45" s="7"/>
      <c r="D45" s="31" t="s">
        <v>76</v>
      </c>
      <c r="E45" s="7" t="n">
        <v>1</v>
      </c>
      <c r="F45" s="8" t="s">
        <v>14</v>
      </c>
      <c r="G45" s="7" t="n">
        <v>1</v>
      </c>
      <c r="H45" s="7" t="s">
        <v>15</v>
      </c>
      <c r="I45" s="9" t="n">
        <v>250000</v>
      </c>
      <c r="J45" s="9" t="n">
        <f aca="false">E45*G45*I45</f>
        <v>250000</v>
      </c>
      <c r="K45" s="34" t="s">
        <v>77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false" outlineLevel="0" collapsed="false">
      <c r="A46" s="1"/>
      <c r="B46" s="7"/>
      <c r="C46" s="7"/>
      <c r="D46" s="31" t="s">
        <v>78</v>
      </c>
      <c r="E46" s="7" t="n">
        <v>1</v>
      </c>
      <c r="F46" s="8" t="s">
        <v>14</v>
      </c>
      <c r="G46" s="7" t="n">
        <v>1</v>
      </c>
      <c r="H46" s="7" t="s">
        <v>15</v>
      </c>
      <c r="I46" s="9" t="n">
        <v>250000</v>
      </c>
      <c r="J46" s="9" t="n">
        <f aca="false">E46*G46*I46</f>
        <v>250000</v>
      </c>
      <c r="K46" s="33" t="s">
        <v>79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false" outlineLevel="0" collapsed="false">
      <c r="A47" s="1"/>
      <c r="B47" s="7"/>
      <c r="C47" s="47"/>
      <c r="D47" s="31" t="s">
        <v>80</v>
      </c>
      <c r="E47" s="7" t="n">
        <v>1</v>
      </c>
      <c r="F47" s="8" t="s">
        <v>14</v>
      </c>
      <c r="G47" s="7" t="n">
        <v>1</v>
      </c>
      <c r="H47" s="7" t="s">
        <v>15</v>
      </c>
      <c r="I47" s="48" t="s">
        <v>81</v>
      </c>
      <c r="J47" s="48" t="s">
        <v>81</v>
      </c>
      <c r="K47" s="49" t="s">
        <v>82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false" outlineLevel="0" collapsed="false">
      <c r="A48" s="1"/>
      <c r="B48" s="7"/>
      <c r="C48" s="35" t="s">
        <v>66</v>
      </c>
      <c r="D48" s="7" t="s">
        <v>83</v>
      </c>
      <c r="E48" s="7" t="n">
        <v>1</v>
      </c>
      <c r="F48" s="8" t="s">
        <v>14</v>
      </c>
      <c r="G48" s="7" t="n">
        <v>1</v>
      </c>
      <c r="H48" s="7" t="s">
        <v>15</v>
      </c>
      <c r="I48" s="9" t="n">
        <v>100000</v>
      </c>
      <c r="J48" s="9" t="n">
        <f aca="false">E48*G48*I48</f>
        <v>100000</v>
      </c>
      <c r="K48" s="50" t="s">
        <v>84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false" outlineLevel="0" collapsed="false">
      <c r="A49" s="1"/>
      <c r="B49" s="7"/>
      <c r="C49" s="7"/>
      <c r="D49" s="7" t="s">
        <v>85</v>
      </c>
      <c r="E49" s="7" t="n">
        <v>1</v>
      </c>
      <c r="F49" s="8" t="s">
        <v>14</v>
      </c>
      <c r="G49" s="7" t="n">
        <v>1</v>
      </c>
      <c r="H49" s="7" t="s">
        <v>15</v>
      </c>
      <c r="I49" s="9" t="n">
        <v>100000</v>
      </c>
      <c r="J49" s="9" t="n">
        <f aca="false">E49*G49*I49</f>
        <v>100000</v>
      </c>
      <c r="K49" s="50" t="s">
        <v>86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false" outlineLevel="0" collapsed="false">
      <c r="A50" s="1"/>
      <c r="B50" s="7"/>
      <c r="C50" s="7"/>
      <c r="D50" s="7" t="s">
        <v>87</v>
      </c>
      <c r="E50" s="7" t="n">
        <v>1</v>
      </c>
      <c r="F50" s="8" t="s">
        <v>14</v>
      </c>
      <c r="G50" s="7" t="n">
        <v>1</v>
      </c>
      <c r="H50" s="7" t="s">
        <v>15</v>
      </c>
      <c r="I50" s="9" t="n">
        <v>200000</v>
      </c>
      <c r="J50" s="9" t="n">
        <f aca="false">E50*G50*I50</f>
        <v>200000</v>
      </c>
      <c r="K50" s="22" t="s">
        <v>88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false" outlineLevel="0" collapsed="false">
      <c r="A51" s="1"/>
      <c r="B51" s="7"/>
      <c r="C51" s="7"/>
      <c r="D51" s="7" t="s">
        <v>89</v>
      </c>
      <c r="E51" s="7" t="n">
        <v>1</v>
      </c>
      <c r="F51" s="8" t="s">
        <v>14</v>
      </c>
      <c r="G51" s="7" t="n">
        <v>1</v>
      </c>
      <c r="H51" s="7" t="s">
        <v>15</v>
      </c>
      <c r="I51" s="9" t="n">
        <v>800000</v>
      </c>
      <c r="J51" s="9" t="n">
        <f aca="false">E51*G51*I51</f>
        <v>800000</v>
      </c>
      <c r="K51" s="50" t="s">
        <v>90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false" outlineLevel="0" collapsed="false">
      <c r="A52" s="1"/>
      <c r="B52" s="7"/>
      <c r="C52" s="7"/>
      <c r="D52" s="7" t="s">
        <v>91</v>
      </c>
      <c r="E52" s="7" t="n">
        <v>1</v>
      </c>
      <c r="F52" s="8" t="s">
        <v>14</v>
      </c>
      <c r="G52" s="7" t="n">
        <v>1</v>
      </c>
      <c r="H52" s="7" t="s">
        <v>15</v>
      </c>
      <c r="I52" s="9" t="n">
        <v>200000</v>
      </c>
      <c r="J52" s="9" t="n">
        <f aca="false">E52*G52*I52</f>
        <v>200000</v>
      </c>
      <c r="K52" s="33" t="s">
        <v>92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customFormat="false" ht="15.75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customFormat="false" ht="15.75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customFormat="false" ht="15.75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customFormat="false" ht="15.7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customFormat="false" ht="15.7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customFormat="false" ht="15.7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customFormat="false" ht="15.7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customFormat="false" ht="15.75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customFormat="false" ht="15.75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customFormat="false" ht="15.75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customFormat="false" ht="15.75" hidden="false" customHeight="fals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customFormat="false" ht="15.75" hidden="false" customHeight="fals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customFormat="false" ht="15.75" hidden="false" customHeight="fals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customFormat="false" ht="15.75" hidden="false" customHeight="fals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customFormat="false" ht="15.75" hidden="false" customHeight="fals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customFormat="false" ht="15.75" hidden="false" customHeight="fals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customFormat="false" ht="15.75" hidden="false" customHeight="fals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customFormat="false" ht="15.75" hidden="false" customHeight="fals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customFormat="false" ht="15.75" hidden="false" customHeight="fals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customFormat="false" ht="15.75" hidden="false" customHeight="fals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customFormat="false" ht="15.75" hidden="false" customHeight="fals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customFormat="false" ht="15.75" hidden="false" customHeight="fals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customFormat="false" ht="15.75" hidden="false" customHeight="fals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customFormat="false" ht="15.75" hidden="false" customHeight="fals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customFormat="false" ht="15.75" hidden="false" customHeight="fals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customFormat="false" ht="15.75" hidden="false" customHeight="fals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customFormat="false" ht="15.75" hidden="false" customHeight="fals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customFormat="false" ht="15.75" hidden="false" customHeight="fals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customFormat="false" ht="15.75" hidden="false" customHeight="fals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customFormat="false" ht="15.75" hidden="false" customHeight="fals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customFormat="false" ht="15.75" hidden="false" customHeight="fals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customFormat="false" ht="15.75" hidden="false" customHeight="fals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customFormat="false" ht="15.75" hidden="false" customHeight="fals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customFormat="false" ht="15.75" hidden="false" customHeight="fals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customFormat="false" ht="15.75" hidden="false" customHeight="fals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customFormat="false" ht="15.75" hidden="false" customHeight="fals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customFormat="false" ht="15.75" hidden="false" customHeight="fals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</sheetData>
  <mergeCells count="27">
    <mergeCell ref="B3:I3"/>
    <mergeCell ref="B6:B7"/>
    <mergeCell ref="C6:C7"/>
    <mergeCell ref="B8:I8"/>
    <mergeCell ref="B10:I10"/>
    <mergeCell ref="B13:B33"/>
    <mergeCell ref="C13:C20"/>
    <mergeCell ref="K19:K20"/>
    <mergeCell ref="C21:I21"/>
    <mergeCell ref="C22:I22"/>
    <mergeCell ref="C23:C26"/>
    <mergeCell ref="D23:K27"/>
    <mergeCell ref="C28:C32"/>
    <mergeCell ref="C33:I33"/>
    <mergeCell ref="B34:I34"/>
    <mergeCell ref="B35:B38"/>
    <mergeCell ref="D35:I37"/>
    <mergeCell ref="J35:J37"/>
    <mergeCell ref="K35:K37"/>
    <mergeCell ref="C36:C37"/>
    <mergeCell ref="C38:I38"/>
    <mergeCell ref="B39:I39"/>
    <mergeCell ref="B40:I40"/>
    <mergeCell ref="B42:I42"/>
    <mergeCell ref="B44:B52"/>
    <mergeCell ref="C44:C47"/>
    <mergeCell ref="C48:C52"/>
  </mergeCells>
  <hyperlinks>
    <hyperlink ref="B3" r:id="rId1" display="현재 [(26년상반기)예산 개요 (ver.2)] / [개별 단가] / [시나리오] 3가지 시트로 목적별 구분하여 관련 작성하였으며 &#10;참고차 노션 페이지에 각각에 대해 부가적인 설명을 포함해 문서로도 공유드렸으니 참고부탁드립니다. -- (링크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B9C"/>
    <outlinePr summaryBelow="0"/>
    <pageSetUpPr fitToPage="false"/>
  </sheetPr>
  <dimension ref="A2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63"/>
    <col collapsed="false" customWidth="true" hidden="false" outlineLevel="0" max="3" min="3" style="0" width="19.38"/>
    <col collapsed="false" customWidth="true" hidden="false" outlineLevel="0" max="5" min="4" style="0" width="10.13"/>
    <col collapsed="false" customWidth="true" hidden="false" outlineLevel="0" max="9" min="9" style="0" width="46.5"/>
  </cols>
  <sheetData>
    <row r="2" customFormat="false" ht="15.75" hidden="false" customHeight="false" outlineLevel="0" collapsed="false">
      <c r="A2" s="51" t="s">
        <v>93</v>
      </c>
      <c r="B2" s="52" t="s">
        <v>94</v>
      </c>
      <c r="C2" s="52"/>
      <c r="D2" s="52"/>
      <c r="E2" s="52"/>
      <c r="F2" s="52"/>
      <c r="G2" s="52"/>
      <c r="H2" s="52"/>
      <c r="I2" s="52"/>
    </row>
    <row r="3" customFormat="false" ht="15.75" hidden="false" customHeight="false" outlineLevel="0" collapsed="false">
      <c r="B3" s="53" t="s">
        <v>95</v>
      </c>
      <c r="C3" s="53"/>
      <c r="D3" s="54" t="n">
        <v>50000</v>
      </c>
      <c r="E3" s="55"/>
      <c r="F3" s="55"/>
      <c r="G3" s="55"/>
      <c r="H3" s="55"/>
      <c r="I3" s="55"/>
    </row>
    <row r="4" customFormat="false" ht="15.75" hidden="false" customHeight="false" outlineLevel="0" collapsed="false">
      <c r="B4" s="56"/>
      <c r="C4" s="55"/>
      <c r="D4" s="55"/>
      <c r="E4" s="55"/>
      <c r="F4" s="55"/>
      <c r="G4" s="55"/>
      <c r="H4" s="55"/>
      <c r="I4" s="55"/>
    </row>
    <row r="5" customFormat="false" ht="15.75" hidden="false" customHeight="false" outlineLevel="0" collapsed="false">
      <c r="B5" s="57" t="s">
        <v>96</v>
      </c>
      <c r="C5" s="57" t="s">
        <v>97</v>
      </c>
      <c r="D5" s="57" t="s">
        <v>98</v>
      </c>
      <c r="E5" s="57" t="s">
        <v>23</v>
      </c>
      <c r="F5" s="57" t="s">
        <v>99</v>
      </c>
      <c r="G5" s="58" t="s">
        <v>100</v>
      </c>
      <c r="H5" s="57" t="s">
        <v>101</v>
      </c>
      <c r="I5" s="57" t="s">
        <v>10</v>
      </c>
    </row>
    <row r="6" customFormat="false" ht="15.75" hidden="false" customHeight="false" outlineLevel="0" collapsed="false">
      <c r="B6" s="59" t="s">
        <v>52</v>
      </c>
      <c r="C6" s="59" t="s">
        <v>27</v>
      </c>
      <c r="D6" s="60" t="n">
        <v>1</v>
      </c>
      <c r="E6" s="60" t="n">
        <v>4</v>
      </c>
      <c r="F6" s="54" t="n">
        <v>50000</v>
      </c>
      <c r="G6" s="60" t="n">
        <f aca="false">D6*E6</f>
        <v>4</v>
      </c>
      <c r="H6" s="54" t="n">
        <f aca="false">50000*G6</f>
        <v>200000</v>
      </c>
      <c r="I6" s="59" t="s">
        <v>102</v>
      </c>
    </row>
    <row r="7" customFormat="false" ht="15.75" hidden="false" customHeight="false" outlineLevel="0" collapsed="false">
      <c r="B7" s="59" t="s">
        <v>52</v>
      </c>
      <c r="C7" s="59" t="s">
        <v>31</v>
      </c>
      <c r="D7" s="60" t="n">
        <v>1</v>
      </c>
      <c r="E7" s="60" t="n">
        <v>3</v>
      </c>
      <c r="F7" s="54" t="n">
        <v>50000</v>
      </c>
      <c r="G7" s="60" t="n">
        <f aca="false">D7*E7</f>
        <v>3</v>
      </c>
      <c r="H7" s="54" t="n">
        <f aca="false">50000*G7</f>
        <v>150000</v>
      </c>
      <c r="I7" s="59"/>
    </row>
    <row r="8" customFormat="false" ht="15.75" hidden="false" customHeight="false" outlineLevel="0" collapsed="false">
      <c r="B8" s="59" t="s">
        <v>33</v>
      </c>
      <c r="C8" s="59" t="s">
        <v>33</v>
      </c>
      <c r="D8" s="60" t="n">
        <v>2</v>
      </c>
      <c r="E8" s="60" t="n">
        <v>6</v>
      </c>
      <c r="F8" s="54" t="n">
        <v>50000</v>
      </c>
      <c r="G8" s="60" t="n">
        <f aca="false">D8*E8</f>
        <v>12</v>
      </c>
      <c r="H8" s="54" t="n">
        <f aca="false">50000*G8</f>
        <v>600000</v>
      </c>
      <c r="I8" s="61" t="s">
        <v>103</v>
      </c>
    </row>
    <row r="9" customFormat="false" ht="15.75" hidden="false" customHeight="false" outlineLevel="0" collapsed="false">
      <c r="B9" s="59" t="s">
        <v>104</v>
      </c>
      <c r="C9" s="59" t="s">
        <v>35</v>
      </c>
      <c r="D9" s="60" t="n">
        <v>1</v>
      </c>
      <c r="E9" s="60" t="n">
        <v>3</v>
      </c>
      <c r="F9" s="54" t="n">
        <v>50000</v>
      </c>
      <c r="G9" s="60" t="n">
        <f aca="false">D9*E9</f>
        <v>3</v>
      </c>
      <c r="H9" s="54" t="n">
        <f aca="false">50000*G9</f>
        <v>150000</v>
      </c>
      <c r="I9" s="59" t="s">
        <v>105</v>
      </c>
    </row>
    <row r="10" customFormat="false" ht="15.75" hidden="false" customHeight="false" outlineLevel="0" collapsed="false">
      <c r="B10" s="59" t="s">
        <v>104</v>
      </c>
      <c r="C10" s="59" t="s">
        <v>106</v>
      </c>
      <c r="D10" s="60" t="n">
        <v>1</v>
      </c>
      <c r="E10" s="60" t="n">
        <v>4</v>
      </c>
      <c r="F10" s="54" t="n">
        <v>50000</v>
      </c>
      <c r="G10" s="60" t="n">
        <f aca="false">D10*E10</f>
        <v>4</v>
      </c>
      <c r="H10" s="54" t="n">
        <f aca="false">50000*G10</f>
        <v>200000</v>
      </c>
      <c r="I10" s="61"/>
    </row>
    <row r="11" customFormat="false" ht="15.75" hidden="false" customHeight="false" outlineLevel="0" collapsed="false">
      <c r="B11" s="59" t="s">
        <v>107</v>
      </c>
      <c r="C11" s="59" t="s">
        <v>108</v>
      </c>
      <c r="D11" s="60" t="n">
        <v>3</v>
      </c>
      <c r="E11" s="60" t="n">
        <v>2</v>
      </c>
      <c r="F11" s="54" t="n">
        <v>50000</v>
      </c>
      <c r="G11" s="60" t="n">
        <f aca="false">D11*E11</f>
        <v>6</v>
      </c>
      <c r="H11" s="54" t="n">
        <f aca="false">50000*G11</f>
        <v>300000</v>
      </c>
      <c r="I11" s="59" t="s">
        <v>109</v>
      </c>
    </row>
    <row r="12" customFormat="false" ht="15.75" hidden="false" customHeight="false" outlineLevel="0" collapsed="false">
      <c r="B12" s="59" t="s">
        <v>107</v>
      </c>
      <c r="C12" s="59" t="s">
        <v>110</v>
      </c>
      <c r="D12" s="60" t="n">
        <v>1</v>
      </c>
      <c r="E12" s="60" t="n">
        <v>11</v>
      </c>
      <c r="F12" s="54" t="n">
        <v>50000</v>
      </c>
      <c r="G12" s="60" t="n">
        <f aca="false">D12*E12</f>
        <v>11</v>
      </c>
      <c r="H12" s="54" t="n">
        <f aca="false">50000*G12</f>
        <v>550000</v>
      </c>
      <c r="I12" s="59" t="s">
        <v>111</v>
      </c>
    </row>
    <row r="13" customFormat="false" ht="15.75" hidden="false" customHeight="false" outlineLevel="0" collapsed="false">
      <c r="B13" s="59" t="s">
        <v>107</v>
      </c>
      <c r="C13" s="59" t="s">
        <v>112</v>
      </c>
      <c r="D13" s="60" t="n">
        <v>1</v>
      </c>
      <c r="E13" s="60" t="n">
        <v>11</v>
      </c>
      <c r="F13" s="54" t="n">
        <v>50000</v>
      </c>
      <c r="G13" s="60" t="n">
        <f aca="false">D13*E13</f>
        <v>11</v>
      </c>
      <c r="H13" s="54" t="n">
        <f aca="false">50000*G13</f>
        <v>550000</v>
      </c>
      <c r="I13" s="59" t="s">
        <v>111</v>
      </c>
    </row>
    <row r="14" customFormat="false" ht="15.75" hidden="false" customHeight="false" outlineLevel="0" collapsed="false">
      <c r="B14" s="55"/>
      <c r="C14" s="62" t="s">
        <v>113</v>
      </c>
      <c r="D14" s="55"/>
      <c r="E14" s="55"/>
      <c r="F14" s="63"/>
      <c r="G14" s="64" t="n">
        <f aca="false">SUM(G6:G13)</f>
        <v>54</v>
      </c>
      <c r="H14" s="65" t="n">
        <f aca="false">SUM(H6:H13)</f>
        <v>2700000</v>
      </c>
      <c r="I14" s="66" t="s">
        <v>114</v>
      </c>
    </row>
    <row r="15" customFormat="false" ht="15.75" hidden="false" customHeight="false" outlineLevel="0" collapsed="false">
      <c r="B15" s="55"/>
      <c r="C15" s="55"/>
      <c r="D15" s="55"/>
      <c r="E15" s="55"/>
      <c r="F15" s="55"/>
      <c r="G15" s="55"/>
      <c r="H15" s="55"/>
      <c r="I15" s="55"/>
    </row>
    <row r="16" customFormat="false" ht="15.75" hidden="false" customHeight="false" outlineLevel="0" collapsed="false">
      <c r="B16" s="67" t="s">
        <v>115</v>
      </c>
      <c r="C16" s="67"/>
      <c r="D16" s="67"/>
      <c r="E16" s="68"/>
      <c r="F16" s="55"/>
      <c r="G16" s="55"/>
      <c r="H16" s="55"/>
      <c r="I16" s="55"/>
    </row>
    <row r="17" customFormat="false" ht="15.75" hidden="false" customHeight="false" outlineLevel="0" collapsed="false">
      <c r="B17" s="69" t="s">
        <v>116</v>
      </c>
      <c r="C17" s="69"/>
      <c r="D17" s="69"/>
      <c r="E17" s="69"/>
      <c r="F17" s="69"/>
      <c r="G17" s="69"/>
      <c r="H17" s="69"/>
      <c r="I17" s="69"/>
      <c r="J17" s="69"/>
      <c r="K17" s="69"/>
    </row>
    <row r="18" customFormat="false" ht="15.75" hidden="false" customHeight="false" outlineLevel="0" collapsed="false">
      <c r="B18" s="70" t="s">
        <v>117</v>
      </c>
      <c r="C18" s="55"/>
      <c r="D18" s="55"/>
      <c r="E18" s="55"/>
      <c r="F18" s="55"/>
      <c r="G18" s="55"/>
      <c r="H18" s="55"/>
      <c r="I18" s="55"/>
    </row>
    <row r="19" customFormat="false" ht="15.75" hidden="false" customHeight="false" outlineLevel="0" collapsed="false">
      <c r="B19" s="55"/>
      <c r="C19" s="55"/>
      <c r="D19" s="55"/>
      <c r="E19" s="55"/>
      <c r="F19" s="55"/>
      <c r="G19" s="55"/>
      <c r="H19" s="55"/>
      <c r="I19" s="55"/>
    </row>
    <row r="20" customFormat="false" ht="15.75" hidden="false" customHeight="false" outlineLevel="0" collapsed="false">
      <c r="B20" s="71" t="s">
        <v>118</v>
      </c>
      <c r="C20" s="71"/>
      <c r="D20" s="71"/>
      <c r="E20" s="71"/>
      <c r="F20" s="71"/>
      <c r="G20" s="71"/>
      <c r="H20" s="55"/>
      <c r="I20" s="55"/>
    </row>
    <row r="21" customFormat="false" ht="15.75" hidden="false" customHeight="false" outlineLevel="0" collapsed="false">
      <c r="B21" s="71" t="s">
        <v>119</v>
      </c>
      <c r="C21" s="71"/>
      <c r="D21" s="71"/>
      <c r="E21" s="71"/>
      <c r="F21" s="71"/>
      <c r="G21" s="71"/>
      <c r="H21" s="55"/>
      <c r="I21" s="55"/>
    </row>
    <row r="23" customFormat="false" ht="15.75" hidden="false" customHeight="false" outlineLevel="0" collapsed="false">
      <c r="B23" s="72" t="s">
        <v>120</v>
      </c>
      <c r="C23" s="72"/>
      <c r="D23" s="72"/>
      <c r="E23" s="72"/>
      <c r="F23" s="72"/>
      <c r="G23" s="72"/>
      <c r="H23" s="72"/>
      <c r="I23" s="72"/>
    </row>
    <row r="24" customFormat="false" ht="15.75" hidden="false" customHeight="false" outlineLevel="0" collapsed="false">
      <c r="B24" s="55"/>
      <c r="C24" s="55"/>
      <c r="D24" s="55"/>
      <c r="E24" s="55"/>
      <c r="F24" s="55"/>
      <c r="G24" s="55"/>
      <c r="H24" s="55"/>
      <c r="I24" s="55"/>
    </row>
    <row r="25" customFormat="false" ht="15.75" hidden="false" customHeight="false" outlineLevel="0" collapsed="false">
      <c r="B25" s="57" t="s">
        <v>96</v>
      </c>
      <c r="C25" s="57" t="s">
        <v>97</v>
      </c>
      <c r="D25" s="57" t="s">
        <v>98</v>
      </c>
      <c r="E25" s="57" t="s">
        <v>23</v>
      </c>
      <c r="F25" s="57" t="s">
        <v>99</v>
      </c>
      <c r="G25" s="58" t="s">
        <v>100</v>
      </c>
      <c r="H25" s="57" t="s">
        <v>101</v>
      </c>
      <c r="I25" s="57" t="s">
        <v>10</v>
      </c>
    </row>
    <row r="26" customFormat="false" ht="15.75" hidden="false" customHeight="false" outlineLevel="0" collapsed="false">
      <c r="B26" s="59" t="s">
        <v>52</v>
      </c>
      <c r="C26" s="59" t="s">
        <v>52</v>
      </c>
      <c r="D26" s="60" t="n">
        <v>1</v>
      </c>
      <c r="E26" s="60" t="n">
        <v>4</v>
      </c>
      <c r="F26" s="54" t="n">
        <v>50000</v>
      </c>
      <c r="G26" s="60" t="n">
        <f aca="false">D26*E26</f>
        <v>4</v>
      </c>
      <c r="H26" s="54" t="n">
        <f aca="false">50000*G26</f>
        <v>200000</v>
      </c>
      <c r="I26" s="59" t="s">
        <v>121</v>
      </c>
    </row>
    <row r="27" customFormat="false" ht="15.75" hidden="false" customHeight="false" outlineLevel="0" collapsed="false">
      <c r="B27" s="59" t="s">
        <v>33</v>
      </c>
      <c r="C27" s="59" t="s">
        <v>33</v>
      </c>
      <c r="D27" s="60" t="n">
        <v>2</v>
      </c>
      <c r="E27" s="60" t="n">
        <v>6</v>
      </c>
      <c r="F27" s="54" t="n">
        <v>50000</v>
      </c>
      <c r="G27" s="60" t="n">
        <f aca="false">D27*E27</f>
        <v>12</v>
      </c>
      <c r="H27" s="54" t="n">
        <f aca="false">50000*G27</f>
        <v>600000</v>
      </c>
      <c r="I27" s="61" t="s">
        <v>122</v>
      </c>
    </row>
    <row r="28" customFormat="false" ht="15.75" hidden="false" customHeight="false" outlineLevel="0" collapsed="false">
      <c r="B28" s="59" t="s">
        <v>33</v>
      </c>
      <c r="C28" s="59" t="s">
        <v>55</v>
      </c>
      <c r="D28" s="60" t="n">
        <v>1</v>
      </c>
      <c r="E28" s="60" t="n">
        <v>3</v>
      </c>
      <c r="F28" s="54" t="n">
        <v>50000</v>
      </c>
      <c r="G28" s="60" t="n">
        <f aca="false">D28*E28</f>
        <v>3</v>
      </c>
      <c r="H28" s="54" t="n">
        <f aca="false">50000*G28</f>
        <v>150000</v>
      </c>
      <c r="I28" s="61"/>
    </row>
    <row r="29" customFormat="false" ht="15.75" hidden="false" customHeight="false" outlineLevel="0" collapsed="false">
      <c r="B29" s="59" t="s">
        <v>107</v>
      </c>
      <c r="C29" s="59" t="s">
        <v>123</v>
      </c>
      <c r="D29" s="60" t="n">
        <v>1</v>
      </c>
      <c r="E29" s="60" t="n">
        <v>6</v>
      </c>
      <c r="F29" s="54" t="n">
        <v>50000</v>
      </c>
      <c r="G29" s="60" t="n">
        <f aca="false">D29*E29</f>
        <v>6</v>
      </c>
      <c r="H29" s="54" t="n">
        <f aca="false">50000*G29</f>
        <v>300000</v>
      </c>
      <c r="I29" s="59" t="s">
        <v>57</v>
      </c>
    </row>
    <row r="30" customFormat="false" ht="15.75" hidden="false" customHeight="false" outlineLevel="0" collapsed="false">
      <c r="B30" s="59" t="s">
        <v>107</v>
      </c>
      <c r="C30" s="59" t="s">
        <v>124</v>
      </c>
      <c r="D30" s="60" t="n">
        <v>1</v>
      </c>
      <c r="E30" s="60" t="n">
        <v>6</v>
      </c>
      <c r="F30" s="54" t="n">
        <v>50000</v>
      </c>
      <c r="G30" s="60" t="n">
        <f aca="false">D30*E30</f>
        <v>6</v>
      </c>
      <c r="H30" s="54" t="n">
        <f aca="false">50000*G30</f>
        <v>300000</v>
      </c>
      <c r="I30" s="59" t="s">
        <v>57</v>
      </c>
    </row>
    <row r="31" customFormat="false" ht="15.75" hidden="false" customHeight="false" outlineLevel="0" collapsed="false">
      <c r="B31" s="55"/>
      <c r="C31" s="62" t="s">
        <v>113</v>
      </c>
      <c r="D31" s="55"/>
      <c r="E31" s="55"/>
      <c r="F31" s="63"/>
      <c r="G31" s="64" t="n">
        <f aca="false">SUM(G26:G30)</f>
        <v>31</v>
      </c>
      <c r="H31" s="65" t="n">
        <v>1550000</v>
      </c>
      <c r="I31" s="66" t="s">
        <v>114</v>
      </c>
    </row>
    <row r="32" customFormat="false" ht="15.75" hidden="false" customHeight="false" outlineLevel="0" collapsed="false">
      <c r="B32" s="55"/>
      <c r="C32" s="55"/>
      <c r="D32" s="55"/>
      <c r="E32" s="55"/>
      <c r="F32" s="55"/>
      <c r="G32" s="55"/>
      <c r="H32" s="55"/>
      <c r="I32" s="55"/>
    </row>
    <row r="33" customFormat="false" ht="15.75" hidden="false" customHeight="false" outlineLevel="0" collapsed="false">
      <c r="B33" s="67" t="s">
        <v>125</v>
      </c>
      <c r="C33" s="67"/>
      <c r="D33" s="67"/>
      <c r="E33" s="67"/>
      <c r="F33" s="67"/>
      <c r="G33" s="67"/>
      <c r="H33" s="67"/>
      <c r="I33" s="55"/>
    </row>
    <row r="34" customFormat="false" ht="15.75" hidden="false" customHeight="false" outlineLevel="0" collapsed="false">
      <c r="B34" s="71" t="s">
        <v>126</v>
      </c>
      <c r="C34" s="71"/>
      <c r="D34" s="71"/>
      <c r="E34" s="68"/>
      <c r="F34" s="55"/>
      <c r="G34" s="55"/>
      <c r="H34" s="55"/>
      <c r="I34" s="55"/>
    </row>
    <row r="35" customFormat="false" ht="15.75" hidden="false" customHeight="false" outlineLevel="0" collapsed="false">
      <c r="B35" s="55"/>
      <c r="C35" s="55"/>
      <c r="D35" s="55"/>
      <c r="E35" s="55"/>
      <c r="F35" s="55"/>
      <c r="G35" s="55"/>
      <c r="H35" s="55"/>
      <c r="I35" s="55"/>
    </row>
    <row r="36" customFormat="false" ht="15.75" hidden="false" customHeight="false" outlineLevel="0" collapsed="false">
      <c r="B36" s="71" t="s">
        <v>127</v>
      </c>
      <c r="C36" s="71"/>
      <c r="D36" s="71"/>
      <c r="E36" s="68"/>
      <c r="F36" s="55"/>
      <c r="G36" s="55"/>
      <c r="H36" s="55"/>
      <c r="I36" s="55"/>
    </row>
  </sheetData>
  <mergeCells count="10">
    <mergeCell ref="B2:I2"/>
    <mergeCell ref="B3:C3"/>
    <mergeCell ref="B16:D16"/>
    <mergeCell ref="B17:K17"/>
    <mergeCell ref="B20:G20"/>
    <mergeCell ref="B21:G21"/>
    <mergeCell ref="B23:I23"/>
    <mergeCell ref="B33:H33"/>
    <mergeCell ref="B34:D34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B9C"/>
    <outlinePr summaryBelow="0"/>
    <pageSetUpPr fitToPage="false"/>
  </sheetPr>
  <dimension ref="B2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75"/>
  </cols>
  <sheetData>
    <row r="2" customFormat="false" ht="15.75" hidden="false" customHeight="false" outlineLevel="0" collapsed="false">
      <c r="B2" s="73" t="s">
        <v>128</v>
      </c>
      <c r="C2" s="73"/>
      <c r="D2" s="55"/>
      <c r="E2" s="55"/>
      <c r="F2" s="55"/>
      <c r="G2" s="55"/>
      <c r="H2" s="55"/>
    </row>
    <row r="3" customFormat="false" ht="15.75" hidden="false" customHeight="false" outlineLevel="0" collapsed="false">
      <c r="B3" s="68" t="s">
        <v>129</v>
      </c>
      <c r="C3" s="55"/>
      <c r="D3" s="55"/>
      <c r="E3" s="55"/>
      <c r="F3" s="55"/>
      <c r="G3" s="55"/>
      <c r="H3" s="55"/>
    </row>
    <row r="4" customFormat="false" ht="15.75" hidden="false" customHeight="false" outlineLevel="0" collapsed="false">
      <c r="B4" s="74" t="s">
        <v>130</v>
      </c>
      <c r="C4" s="55"/>
      <c r="D4" s="55"/>
      <c r="E4" s="55"/>
      <c r="F4" s="55"/>
      <c r="G4" s="55"/>
      <c r="H4" s="55"/>
    </row>
    <row r="5" customFormat="false" ht="15.75" hidden="false" customHeight="false" outlineLevel="0" collapsed="false">
      <c r="B5" s="74"/>
      <c r="C5" s="55"/>
      <c r="D5" s="55"/>
      <c r="E5" s="55"/>
      <c r="F5" s="55"/>
      <c r="G5" s="55"/>
      <c r="H5" s="55"/>
    </row>
    <row r="6" customFormat="false" ht="15.75" hidden="false" customHeight="false" outlineLevel="0" collapsed="false">
      <c r="B6" s="75" t="s">
        <v>131</v>
      </c>
      <c r="C6" s="75"/>
      <c r="D6" s="75"/>
      <c r="E6" s="55"/>
      <c r="F6" s="55"/>
      <c r="G6" s="75" t="s">
        <v>132</v>
      </c>
      <c r="H6" s="75"/>
      <c r="I6" s="75"/>
      <c r="J6" s="75"/>
      <c r="K6" s="75"/>
    </row>
    <row r="7" customFormat="false" ht="15.75" hidden="false" customHeight="false" outlineLevel="0" collapsed="false">
      <c r="B7" s="57" t="s">
        <v>133</v>
      </c>
      <c r="C7" s="57" t="s">
        <v>134</v>
      </c>
      <c r="D7" s="57" t="s">
        <v>135</v>
      </c>
      <c r="E7" s="57" t="s">
        <v>136</v>
      </c>
      <c r="F7" s="55"/>
      <c r="G7" s="57" t="s">
        <v>133</v>
      </c>
      <c r="H7" s="57" t="s">
        <v>134</v>
      </c>
      <c r="I7" s="57" t="s">
        <v>135</v>
      </c>
      <c r="J7" s="57" t="s">
        <v>136</v>
      </c>
      <c r="K7" s="55"/>
    </row>
    <row r="8" customFormat="false" ht="15.75" hidden="false" customHeight="false" outlineLevel="0" collapsed="false">
      <c r="B8" s="59" t="s">
        <v>137</v>
      </c>
      <c r="C8" s="54" t="n">
        <v>5000000</v>
      </c>
      <c r="D8" s="54" t="n">
        <v>5300000</v>
      </c>
      <c r="E8" s="54" t="n">
        <v>5600000</v>
      </c>
      <c r="F8" s="55"/>
      <c r="G8" s="59" t="s">
        <v>137</v>
      </c>
      <c r="H8" s="54" t="n">
        <v>5000000</v>
      </c>
      <c r="I8" s="54" t="n">
        <v>5300000</v>
      </c>
      <c r="J8" s="54" t="n">
        <v>5600000</v>
      </c>
      <c r="K8" s="55"/>
    </row>
    <row r="9" customFormat="false" ht="15.75" hidden="false" customHeight="false" outlineLevel="0" collapsed="false">
      <c r="B9" s="59" t="s">
        <v>138</v>
      </c>
      <c r="C9" s="54" t="n">
        <v>6600000</v>
      </c>
      <c r="D9" s="54" t="n">
        <v>6900000</v>
      </c>
      <c r="E9" s="54" t="n">
        <v>7200000</v>
      </c>
      <c r="F9" s="55"/>
      <c r="G9" s="59" t="s">
        <v>138</v>
      </c>
      <c r="H9" s="54" t="n">
        <v>6600000</v>
      </c>
      <c r="I9" s="54" t="n">
        <v>6900000</v>
      </c>
      <c r="J9" s="54" t="n">
        <v>7200000</v>
      </c>
      <c r="K9" s="55"/>
    </row>
    <row r="10" customFormat="false" ht="15.75" hidden="false" customHeight="false" outlineLevel="0" collapsed="false">
      <c r="B10" s="59" t="s">
        <v>139</v>
      </c>
      <c r="C10" s="54" t="n">
        <v>7700000</v>
      </c>
      <c r="D10" s="76" t="n">
        <v>8000000</v>
      </c>
      <c r="E10" s="54" t="n">
        <v>8300000</v>
      </c>
      <c r="F10" s="55"/>
      <c r="G10" s="59" t="s">
        <v>139</v>
      </c>
      <c r="H10" s="54" t="n">
        <v>7500000</v>
      </c>
      <c r="I10" s="76" t="n">
        <v>7500000</v>
      </c>
      <c r="J10" s="54" t="n">
        <v>7750000</v>
      </c>
      <c r="K10" s="55"/>
    </row>
    <row r="11" customFormat="false" ht="15.75" hidden="false" customHeight="false" outlineLevel="0" collapsed="false">
      <c r="B11" s="59" t="s">
        <v>140</v>
      </c>
      <c r="C11" s="54" t="n">
        <v>8750000</v>
      </c>
      <c r="D11" s="54" t="n">
        <v>9050000</v>
      </c>
      <c r="E11" s="54" t="n">
        <v>9350000</v>
      </c>
      <c r="F11" s="55"/>
      <c r="G11" s="59" t="s">
        <v>140</v>
      </c>
      <c r="H11" s="54" t="n">
        <v>8100000</v>
      </c>
      <c r="I11" s="54" t="n">
        <v>8350000</v>
      </c>
      <c r="J11" s="54" t="n">
        <v>8600000</v>
      </c>
      <c r="K11" s="55"/>
    </row>
    <row r="12" customFormat="false" ht="15.75" hidden="false" customHeight="false" outlineLevel="0" collapsed="false">
      <c r="B12" s="59" t="s">
        <v>141</v>
      </c>
      <c r="C12" s="54" t="n">
        <v>9850000</v>
      </c>
      <c r="D12" s="54" t="n">
        <v>10150000</v>
      </c>
      <c r="E12" s="54" t="n">
        <v>10450000</v>
      </c>
      <c r="F12" s="55"/>
      <c r="G12" s="59" t="s">
        <v>141</v>
      </c>
      <c r="H12" s="54" t="n">
        <v>9050000</v>
      </c>
      <c r="I12" s="54" t="n">
        <v>9300000</v>
      </c>
      <c r="J12" s="54" t="n">
        <v>9550000</v>
      </c>
      <c r="K12" s="55"/>
    </row>
    <row r="13" customFormat="false" ht="15.75" hidden="false" customHeight="false" outlineLevel="0" collapsed="false">
      <c r="B13" s="59" t="s">
        <v>142</v>
      </c>
      <c r="C13" s="54" t="n">
        <v>10400000</v>
      </c>
      <c r="D13" s="54" t="n">
        <v>10700000</v>
      </c>
      <c r="E13" s="54" t="n">
        <v>11000000</v>
      </c>
      <c r="F13" s="55"/>
      <c r="G13" s="59" t="s">
        <v>142</v>
      </c>
      <c r="H13" s="54" t="n">
        <v>9500000</v>
      </c>
      <c r="I13" s="54" t="n">
        <v>9750000</v>
      </c>
      <c r="J13" s="54" t="n">
        <v>10050000</v>
      </c>
      <c r="K13" s="55"/>
    </row>
    <row r="14" customFormat="false" ht="15.75" hidden="false" customHeight="false" outlineLevel="0" collapsed="false">
      <c r="B14" s="59" t="s">
        <v>143</v>
      </c>
      <c r="C14" s="54" t="n">
        <v>10900000</v>
      </c>
      <c r="D14" s="54" t="n">
        <v>11200000</v>
      </c>
      <c r="E14" s="54" t="n">
        <v>11500000</v>
      </c>
      <c r="F14" s="55"/>
      <c r="G14" s="59" t="s">
        <v>143</v>
      </c>
      <c r="H14" s="54" t="n">
        <v>9950000</v>
      </c>
      <c r="I14" s="54" t="n">
        <v>10200000</v>
      </c>
      <c r="J14" s="54" t="n">
        <v>10450000</v>
      </c>
      <c r="K14" s="55"/>
    </row>
    <row r="15" customFormat="false" ht="15.75" hidden="false" customHeight="false" outlineLevel="0" collapsed="false">
      <c r="B15" s="59" t="s">
        <v>144</v>
      </c>
      <c r="C15" s="54" t="n">
        <v>12000000</v>
      </c>
      <c r="D15" s="54" t="n">
        <v>12300000</v>
      </c>
      <c r="E15" s="54" t="n">
        <v>12600000</v>
      </c>
      <c r="F15" s="55"/>
      <c r="G15" s="59" t="s">
        <v>144</v>
      </c>
      <c r="H15" s="54" t="n">
        <v>10900000</v>
      </c>
      <c r="I15" s="54" t="n">
        <v>11150000</v>
      </c>
      <c r="J15" s="54" t="n">
        <v>11400000</v>
      </c>
      <c r="K15" s="55"/>
    </row>
    <row r="16" customFormat="false" ht="15.75" hidden="false" customHeight="false" outlineLevel="0" collapsed="false">
      <c r="B16" s="55"/>
      <c r="C16" s="55"/>
      <c r="D16" s="55"/>
      <c r="E16" s="55"/>
      <c r="F16" s="55"/>
      <c r="G16" s="55"/>
      <c r="H16" s="55"/>
    </row>
    <row r="17" customFormat="false" ht="15.75" hidden="false" customHeight="false" outlineLevel="0" collapsed="false">
      <c r="B17" s="55"/>
      <c r="C17" s="55"/>
      <c r="D17" s="55"/>
      <c r="E17" s="55"/>
      <c r="F17" s="55"/>
      <c r="G17" s="55"/>
      <c r="H17" s="55"/>
    </row>
    <row r="18" customFormat="false" ht="15.75" hidden="false" customHeight="false" outlineLevel="0" collapsed="false">
      <c r="B18" s="77" t="s">
        <v>145</v>
      </c>
      <c r="C18" s="55"/>
      <c r="D18" s="55"/>
      <c r="E18" s="55"/>
      <c r="F18" s="55"/>
      <c r="G18" s="55"/>
      <c r="H18" s="55"/>
    </row>
    <row r="19" customFormat="false" ht="15.75" hidden="false" customHeight="false" outlineLevel="0" collapsed="false">
      <c r="B19" s="58" t="s">
        <v>146</v>
      </c>
      <c r="C19" s="57" t="s">
        <v>147</v>
      </c>
      <c r="D19" s="58" t="s">
        <v>148</v>
      </c>
      <c r="E19" s="58" t="s">
        <v>149</v>
      </c>
      <c r="F19" s="57" t="s">
        <v>150</v>
      </c>
      <c r="G19" s="57" t="s">
        <v>151</v>
      </c>
      <c r="H19" s="57" t="s">
        <v>152</v>
      </c>
      <c r="I19" s="57"/>
    </row>
    <row r="20" customFormat="false" ht="15.75" hidden="false" customHeight="true" outlineLevel="0" collapsed="false">
      <c r="B20" s="78" t="s">
        <v>153</v>
      </c>
      <c r="C20" s="79" t="s">
        <v>154</v>
      </c>
      <c r="D20" s="79" t="s">
        <v>155</v>
      </c>
      <c r="E20" s="76" t="n">
        <v>8000000</v>
      </c>
      <c r="F20" s="76" t="n">
        <v>500000</v>
      </c>
      <c r="G20" s="76" t="n">
        <v>7500000</v>
      </c>
      <c r="H20" s="80" t="s">
        <v>156</v>
      </c>
      <c r="I20" s="80"/>
    </row>
    <row r="21" customFormat="false" ht="15.75" hidden="false" customHeight="false" outlineLevel="0" collapsed="false">
      <c r="B21" s="61" t="s">
        <v>157</v>
      </c>
      <c r="C21" s="59" t="s">
        <v>154</v>
      </c>
      <c r="D21" s="59" t="s">
        <v>158</v>
      </c>
      <c r="E21" s="54" t="n">
        <v>8300000</v>
      </c>
      <c r="F21" s="54" t="n">
        <v>500000</v>
      </c>
      <c r="G21" s="54" t="n">
        <f aca="false">E21-F21</f>
        <v>7800000</v>
      </c>
      <c r="H21" s="80"/>
      <c r="I21" s="80"/>
    </row>
    <row r="22" customFormat="false" ht="15.75" hidden="false" customHeight="true" outlineLevel="0" collapsed="false">
      <c r="B22" s="61" t="s">
        <v>159</v>
      </c>
      <c r="C22" s="59" t="s">
        <v>140</v>
      </c>
      <c r="D22" s="59" t="s">
        <v>155</v>
      </c>
      <c r="E22" s="54" t="n">
        <v>9050000</v>
      </c>
      <c r="F22" s="54" t="n">
        <v>700000</v>
      </c>
      <c r="G22" s="54" t="n">
        <v>8350000</v>
      </c>
      <c r="H22" s="80" t="s">
        <v>160</v>
      </c>
      <c r="I22" s="80"/>
    </row>
    <row r="23" customFormat="false" ht="15.75" hidden="false" customHeight="false" outlineLevel="0" collapsed="false">
      <c r="B23" s="61" t="s">
        <v>161</v>
      </c>
      <c r="C23" s="59" t="s">
        <v>140</v>
      </c>
      <c r="D23" s="59" t="s">
        <v>158</v>
      </c>
      <c r="E23" s="54" t="n">
        <v>9350000</v>
      </c>
      <c r="F23" s="54" t="n">
        <v>750000</v>
      </c>
      <c r="G23" s="54" t="n">
        <v>8600000</v>
      </c>
      <c r="H23" s="80"/>
      <c r="I23" s="80"/>
    </row>
    <row r="24" customFormat="false" ht="15.75" hidden="false" customHeight="true" outlineLevel="0" collapsed="false">
      <c r="B24" s="61" t="s">
        <v>162</v>
      </c>
      <c r="C24" s="59" t="s">
        <v>141</v>
      </c>
      <c r="D24" s="59" t="s">
        <v>155</v>
      </c>
      <c r="E24" s="54" t="n">
        <v>10150000</v>
      </c>
      <c r="F24" s="54" t="n">
        <v>850000</v>
      </c>
      <c r="G24" s="54" t="n">
        <v>9300000</v>
      </c>
      <c r="H24" s="81" t="s">
        <v>163</v>
      </c>
      <c r="I24" s="81"/>
    </row>
    <row r="25" customFormat="false" ht="15.75" hidden="false" customHeight="false" outlineLevel="0" collapsed="false">
      <c r="B25" s="61" t="s">
        <v>164</v>
      </c>
      <c r="C25" s="59" t="s">
        <v>141</v>
      </c>
      <c r="D25" s="59" t="s">
        <v>158</v>
      </c>
      <c r="E25" s="54" t="n">
        <v>10450000</v>
      </c>
      <c r="F25" s="54" t="n">
        <v>900000</v>
      </c>
      <c r="G25" s="54" t="n">
        <v>9550000</v>
      </c>
      <c r="H25" s="81"/>
      <c r="I25" s="81"/>
    </row>
    <row r="26" customFormat="false" ht="15.75" hidden="false" customHeight="false" outlineLevel="0" collapsed="false">
      <c r="B26" s="61" t="s">
        <v>165</v>
      </c>
      <c r="C26" s="59" t="s">
        <v>142</v>
      </c>
      <c r="D26" s="59" t="s">
        <v>155</v>
      </c>
      <c r="E26" s="54" t="n">
        <v>10700000</v>
      </c>
      <c r="F26" s="54" t="n">
        <v>950000</v>
      </c>
      <c r="G26" s="54" t="n">
        <v>9750000</v>
      </c>
      <c r="H26" s="82" t="n">
        <v>0.089</v>
      </c>
    </row>
    <row r="27" customFormat="false" ht="15.75" hidden="false" customHeight="false" outlineLevel="0" collapsed="false">
      <c r="B27" s="61" t="s">
        <v>166</v>
      </c>
      <c r="C27" s="59" t="s">
        <v>143</v>
      </c>
      <c r="D27" s="59" t="s">
        <v>155</v>
      </c>
      <c r="E27" s="54" t="n">
        <v>11200000</v>
      </c>
      <c r="F27" s="54" t="n">
        <v>1000000</v>
      </c>
      <c r="G27" s="54" t="n">
        <v>10200000</v>
      </c>
      <c r="H27" s="82" t="n">
        <v>0.089</v>
      </c>
    </row>
    <row r="28" customFormat="false" ht="15.75" hidden="false" customHeight="false" outlineLevel="0" collapsed="false">
      <c r="B28" s="61" t="s">
        <v>167</v>
      </c>
      <c r="C28" s="59" t="s">
        <v>143</v>
      </c>
      <c r="D28" s="59" t="s">
        <v>158</v>
      </c>
      <c r="E28" s="54" t="n">
        <v>11500000</v>
      </c>
      <c r="F28" s="54" t="n">
        <v>1050000</v>
      </c>
      <c r="G28" s="54" t="n">
        <v>10450000</v>
      </c>
      <c r="H28" s="82" t="n">
        <v>0.091</v>
      </c>
    </row>
    <row r="29" customFormat="false" ht="15.75" hidden="false" customHeight="false" outlineLevel="0" collapsed="false">
      <c r="B29" s="61" t="s">
        <v>168</v>
      </c>
      <c r="C29" s="59" t="s">
        <v>144</v>
      </c>
      <c r="D29" s="59" t="s">
        <v>155</v>
      </c>
      <c r="E29" s="54" t="n">
        <v>12300000</v>
      </c>
      <c r="F29" s="54" t="n">
        <v>1150000</v>
      </c>
      <c r="G29" s="54" t="n">
        <v>11150000</v>
      </c>
      <c r="H29" s="82" t="n">
        <v>0.093</v>
      </c>
    </row>
  </sheetData>
  <mergeCells count="7">
    <mergeCell ref="B2:C2"/>
    <mergeCell ref="B6:D6"/>
    <mergeCell ref="G6:K6"/>
    <mergeCell ref="H19:I19"/>
    <mergeCell ref="H20:I21"/>
    <mergeCell ref="H22:I23"/>
    <mergeCell ref="H24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outlinePr summaryBelow="0"/>
    <pageSetUpPr fitToPage="true"/>
  </sheetPr>
  <dimension ref="B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7.5"/>
    <col collapsed="false" customWidth="true" hidden="false" outlineLevel="0" max="3" min="3" style="0" width="33.63"/>
    <col collapsed="false" customWidth="true" hidden="false" outlineLevel="0" max="4" min="4" style="0" width="1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1" customFormat="false" ht="15.75" hidden="false" customHeight="false" outlineLevel="0" collapsed="false"/>
    <row r="2" customFormat="false" ht="15.75" hidden="false" customHeight="false" outlineLevel="0" collapsed="false"/>
    <row r="3" customFormat="false" ht="15.75" hidden="false" customHeight="false" outlineLevel="0" collapsed="false"/>
    <row r="4" customFormat="false" ht="22.5" hidden="false" customHeight="true" outlineLevel="0" collapsed="false">
      <c r="B4" s="83" t="s">
        <v>2</v>
      </c>
      <c r="C4" s="83" t="s">
        <v>97</v>
      </c>
      <c r="D4" s="83" t="s">
        <v>8</v>
      </c>
      <c r="E4" s="83" t="s">
        <v>5</v>
      </c>
      <c r="F4" s="84" t="s">
        <v>81</v>
      </c>
      <c r="G4" s="83" t="s">
        <v>169</v>
      </c>
      <c r="H4" s="83" t="s">
        <v>10</v>
      </c>
    </row>
    <row r="5" customFormat="false" ht="22.5" hidden="false" customHeight="true" outlineLevel="0" collapsed="false">
      <c r="B5" s="85" t="s">
        <v>170</v>
      </c>
      <c r="C5" s="86" t="s">
        <v>171</v>
      </c>
      <c r="D5" s="87" t="s">
        <v>81</v>
      </c>
      <c r="E5" s="88" t="s">
        <v>81</v>
      </c>
      <c r="F5" s="89"/>
      <c r="G5" s="87" t="n">
        <v>5350000</v>
      </c>
      <c r="H5" s="90" t="s">
        <v>172</v>
      </c>
    </row>
    <row r="6" customFormat="false" ht="22.5" hidden="false" customHeight="true" outlineLevel="0" collapsed="false">
      <c r="B6" s="91"/>
      <c r="C6" s="88" t="s">
        <v>173</v>
      </c>
      <c r="D6" s="87" t="s">
        <v>81</v>
      </c>
      <c r="E6" s="88" t="s">
        <v>81</v>
      </c>
      <c r="F6" s="92"/>
      <c r="G6" s="87" t="n">
        <v>1550000</v>
      </c>
      <c r="H6" s="90" t="s">
        <v>174</v>
      </c>
    </row>
    <row r="7" customFormat="false" ht="22.5" hidden="false" customHeight="true" outlineLevel="0" collapsed="false">
      <c r="B7" s="91"/>
      <c r="C7" s="90" t="s">
        <v>175</v>
      </c>
      <c r="D7" s="46"/>
      <c r="E7" s="1"/>
      <c r="F7" s="46"/>
      <c r="G7" s="87" t="n">
        <v>200000</v>
      </c>
      <c r="H7" s="1"/>
    </row>
    <row r="8" customFormat="false" ht="22.5" hidden="false" customHeight="true" outlineLevel="0" collapsed="false">
      <c r="B8" s="91"/>
      <c r="C8" s="90" t="s">
        <v>176</v>
      </c>
      <c r="D8" s="46"/>
      <c r="E8" s="1"/>
      <c r="F8" s="46"/>
      <c r="G8" s="87" t="n">
        <v>400000</v>
      </c>
      <c r="H8" s="90" t="s">
        <v>177</v>
      </c>
    </row>
    <row r="9" customFormat="false" ht="22.5" hidden="false" customHeight="true" outlineLevel="0" collapsed="false">
      <c r="B9" s="91"/>
      <c r="C9" s="90" t="s">
        <v>178</v>
      </c>
      <c r="D9" s="93"/>
      <c r="E9" s="93"/>
      <c r="F9" s="94"/>
      <c r="G9" s="95" t="n">
        <f aca="false">G5+G6+G7+G8</f>
        <v>7500000</v>
      </c>
      <c r="H9" s="88" t="s">
        <v>179</v>
      </c>
    </row>
    <row r="10" customFormat="false" ht="22.5" hidden="false" customHeight="true" outlineLevel="0" collapsed="false">
      <c r="B10" s="96"/>
      <c r="C10" s="97"/>
      <c r="D10" s="97"/>
      <c r="E10" s="97"/>
      <c r="F10" s="98"/>
      <c r="G10" s="98"/>
      <c r="H10" s="97"/>
    </row>
    <row r="11" customFormat="false" ht="22.5" hidden="false" customHeight="true" outlineLevel="0" collapsed="false">
      <c r="B11" s="99"/>
      <c r="C11" s="100" t="s">
        <v>180</v>
      </c>
      <c r="D11" s="87" t="n">
        <v>800000</v>
      </c>
      <c r="E11" s="90" t="n">
        <v>1</v>
      </c>
      <c r="F11" s="101" t="s">
        <v>181</v>
      </c>
      <c r="G11" s="87" t="n">
        <f aca="false">D11*E11</f>
        <v>800000</v>
      </c>
      <c r="H11" s="90" t="s">
        <v>182</v>
      </c>
    </row>
    <row r="12" customFormat="false" ht="15.75" hidden="false" customHeight="false" outlineLevel="0" collapsed="false">
      <c r="C12" s="102" t="s">
        <v>183</v>
      </c>
    </row>
    <row r="13" customFormat="false" ht="15.75" hidden="false" customHeight="false" outlineLevel="0" collapsed="false">
      <c r="B13" s="103"/>
      <c r="C13" s="90" t="s">
        <v>178</v>
      </c>
      <c r="G13" s="101" t="n">
        <f aca="false">G11+G12</f>
        <v>800000</v>
      </c>
      <c r="H13" s="88" t="s">
        <v>179</v>
      </c>
    </row>
    <row r="14" customFormat="false" ht="15.75" hidden="false" customHeight="false" outlineLevel="0" collapsed="false">
      <c r="B14" s="51"/>
    </row>
    <row r="15" customFormat="false" ht="20.25" hidden="false" customHeight="true" outlineLevel="0" collapsed="false">
      <c r="B15" s="86" t="s">
        <v>184</v>
      </c>
      <c r="C15" s="86" t="s">
        <v>185</v>
      </c>
      <c r="G15" s="104" t="n">
        <f aca="false">G9+G13</f>
        <v>8300000</v>
      </c>
      <c r="H15" s="88" t="s">
        <v>179</v>
      </c>
    </row>
    <row r="16" customFormat="false" ht="20.25" hidden="false" customHeight="true" outlineLevel="0" collapsed="false">
      <c r="B16" s="51"/>
    </row>
    <row r="17" customFormat="false" ht="20.25" hidden="false" customHeight="true" outlineLevel="0" collapsed="false">
      <c r="B17" s="103"/>
    </row>
    <row r="18" customFormat="false" ht="15.75" hidden="false" customHeight="false" outlineLevel="0" collapsed="false">
      <c r="B18" s="51"/>
    </row>
    <row r="19" customFormat="false" ht="20.25" hidden="false" customHeight="true" outlineLevel="0" collapsed="false"/>
    <row r="20" customFormat="false" ht="20.25" hidden="false" customHeight="true" outlineLevel="0" collapsed="false">
      <c r="B20" s="103"/>
    </row>
    <row r="21" customFormat="false" ht="15.75" hidden="false" customHeight="false" outlineLevel="0" collapsed="false">
      <c r="B21" s="103"/>
      <c r="C21" s="51"/>
      <c r="D21" s="51"/>
      <c r="E21" s="51"/>
    </row>
    <row r="22" customFormat="false" ht="15.75" hidden="false" customHeight="false" outlineLevel="0" collapsed="false">
      <c r="C22" s="51"/>
      <c r="D22" s="51"/>
      <c r="E22" s="51"/>
    </row>
    <row r="23" customFormat="false" ht="15.75" hidden="false" customHeight="false" outlineLevel="0" collapsed="false">
      <c r="B23" s="103"/>
      <c r="C23" s="51"/>
      <c r="D23" s="51"/>
      <c r="E23" s="51"/>
    </row>
    <row r="24" customFormat="false" ht="15.75" hidden="false" customHeight="false" outlineLevel="0" collapsed="false">
      <c r="C24" s="51"/>
      <c r="D24" s="51"/>
      <c r="E24" s="51"/>
    </row>
    <row r="25" customFormat="false" ht="15.75" hidden="false" customHeight="false" outlineLevel="0" collapsed="false">
      <c r="C25" s="51"/>
      <c r="D25" s="51"/>
      <c r="E25" s="51"/>
    </row>
    <row r="26" customFormat="false" ht="15.75" hidden="false" customHeight="false" outlineLevel="0" collapsed="false">
      <c r="C26" s="51"/>
      <c r="D26" s="51"/>
      <c r="E26" s="51"/>
    </row>
    <row r="27" customFormat="false" ht="15.75" hidden="false" customHeight="false" outlineLevel="0" collapsed="false">
      <c r="C27" s="51"/>
      <c r="D27" s="51"/>
      <c r="E27" s="51"/>
    </row>
    <row r="28" customFormat="false" ht="15.75" hidden="false" customHeight="false" outlineLevel="0" collapsed="false">
      <c r="B28" s="103"/>
      <c r="C28" s="51"/>
      <c r="D28" s="51"/>
      <c r="E28" s="51"/>
    </row>
    <row r="29" customFormat="false" ht="15.75" hidden="false" customHeight="false" outlineLevel="0" collapsed="false">
      <c r="C29" s="51"/>
      <c r="D29" s="51"/>
      <c r="E29" s="51"/>
    </row>
  </sheetData>
  <dataValidations count="1">
    <dataValidation allowBlank="true" errorStyle="stop" operator="between" showDropDown="true" showErrorMessage="false" showInputMessage="false" sqref="G5:G11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outlinePr summaryBelow="0"/>
    <pageSetUpPr fitToPage="true"/>
  </sheetPr>
  <dimension ref="B4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7.5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187</v>
      </c>
      <c r="C5" s="107" t="s">
        <v>188</v>
      </c>
      <c r="D5" s="1" t="s">
        <v>81</v>
      </c>
      <c r="E5" s="1" t="s">
        <v>81</v>
      </c>
      <c r="F5" s="46"/>
      <c r="G5" s="46" t="n">
        <v>2000000</v>
      </c>
      <c r="H5" s="108" t="s">
        <v>189</v>
      </c>
    </row>
    <row r="6" customFormat="false" ht="22.5" hidden="false" customHeight="true" outlineLevel="0" collapsed="false">
      <c r="B6" s="91"/>
      <c r="C6" s="109" t="s">
        <v>178</v>
      </c>
      <c r="D6" s="97"/>
      <c r="E6" s="97"/>
      <c r="F6" s="98"/>
      <c r="G6" s="98" t="n">
        <v>2000000</v>
      </c>
      <c r="H6" s="97" t="s">
        <v>190</v>
      </c>
    </row>
    <row r="7" customFormat="false" ht="22.5" hidden="false" customHeight="true" outlineLevel="0" collapsed="false">
      <c r="B7" s="91"/>
      <c r="C7" s="110" t="s">
        <v>191</v>
      </c>
      <c r="D7" s="46"/>
      <c r="E7" s="1" t="n">
        <v>0</v>
      </c>
      <c r="F7" s="111" t="s">
        <v>181</v>
      </c>
      <c r="G7" s="46" t="n">
        <f aca="false">D7*E7</f>
        <v>0</v>
      </c>
    </row>
    <row r="8" customFormat="false" ht="22.5" hidden="false" customHeight="true" outlineLevel="0" collapsed="false">
      <c r="B8" s="91"/>
      <c r="C8" s="110" t="s">
        <v>192</v>
      </c>
      <c r="D8" s="46" t="n">
        <v>800000</v>
      </c>
      <c r="E8" s="1" t="n">
        <v>1</v>
      </c>
      <c r="F8" s="111" t="s">
        <v>181</v>
      </c>
      <c r="G8" s="46" t="n">
        <f aca="false">D8*E8</f>
        <v>800000</v>
      </c>
      <c r="H8" s="108" t="s">
        <v>193</v>
      </c>
    </row>
    <row r="9" customFormat="false" ht="22.5" hidden="false" customHeight="true" outlineLevel="0" collapsed="false">
      <c r="B9" s="91"/>
      <c r="C9" s="102" t="s">
        <v>183</v>
      </c>
      <c r="D9" s="93"/>
      <c r="E9" s="93"/>
      <c r="F9" s="94"/>
      <c r="G9" s="94"/>
      <c r="H9" s="112"/>
    </row>
    <row r="10" customFormat="false" ht="22.5" hidden="false" customHeight="true" outlineLevel="0" collapsed="false">
      <c r="B10" s="96"/>
      <c r="C10" s="109" t="s">
        <v>178</v>
      </c>
      <c r="D10" s="97"/>
      <c r="E10" s="97"/>
      <c r="F10" s="98"/>
      <c r="G10" s="98" t="n">
        <f aca="false">G7+G8+G9</f>
        <v>800000</v>
      </c>
      <c r="H10" s="97" t="s">
        <v>190</v>
      </c>
    </row>
    <row r="11" customFormat="false" ht="22.5" hidden="false" customHeight="true" outlineLevel="0" collapsed="false">
      <c r="B11" s="113" t="s">
        <v>184</v>
      </c>
      <c r="C11" s="107" t="s">
        <v>194</v>
      </c>
      <c r="D11" s="107"/>
      <c r="E11" s="107"/>
      <c r="F11" s="92"/>
      <c r="G11" s="92" t="n">
        <f aca="false">G6+G10</f>
        <v>2800000</v>
      </c>
      <c r="H11" s="1" t="s">
        <v>190</v>
      </c>
    </row>
    <row r="13" customFormat="false" ht="15.75" hidden="false" customHeight="false" outlineLevel="0" collapsed="false">
      <c r="B13" s="103"/>
    </row>
    <row r="15" customFormat="false" ht="20.25" hidden="false" customHeight="true" outlineLevel="0" collapsed="false">
      <c r="B15" s="103"/>
    </row>
    <row r="16" customFormat="false" ht="20.25" hidden="false" customHeight="true" outlineLevel="0" collapsed="false"/>
    <row r="17" customFormat="false" ht="20.25" hidden="false" customHeight="true" outlineLevel="0" collapsed="false">
      <c r="B17" s="103"/>
    </row>
    <row r="19" customFormat="false" ht="20.25" hidden="false" customHeight="true" outlineLevel="0" collapsed="false"/>
    <row r="20" customFormat="false" ht="20.25" hidden="false" customHeight="true" outlineLevel="0" collapsed="false">
      <c r="B20" s="103"/>
    </row>
    <row r="21" customFormat="false" ht="15.75" hidden="false" customHeight="false" outlineLevel="0" collapsed="false">
      <c r="B21" s="103"/>
    </row>
    <row r="23" customFormat="false" ht="15.75" hidden="false" customHeight="false" outlineLevel="0" collapsed="false">
      <c r="B23" s="103"/>
    </row>
    <row r="28" customFormat="false" ht="15.75" hidden="false" customHeight="false" outlineLevel="0" collapsed="false">
      <c r="B28" s="103"/>
    </row>
  </sheetData>
  <dataValidations count="1">
    <dataValidation allowBlank="true" errorStyle="stop" operator="between" showDropDown="true" showErrorMessage="false" showInputMessage="false" sqref="G5:G11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outlinePr summaryBelow="0"/>
    <pageSetUpPr fitToPage="true"/>
  </sheetPr>
  <dimension ref="B4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7.5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195</v>
      </c>
      <c r="C5" s="107" t="s">
        <v>196</v>
      </c>
      <c r="D5" s="92" t="n">
        <v>480000</v>
      </c>
      <c r="E5" s="114" t="n">
        <v>6</v>
      </c>
      <c r="F5" s="115" t="s">
        <v>15</v>
      </c>
      <c r="G5" s="92" t="n">
        <f aca="false">D5*E5</f>
        <v>2880000</v>
      </c>
      <c r="H5" s="108" t="s">
        <v>197</v>
      </c>
    </row>
    <row r="6" customFormat="false" ht="22.5" hidden="false" customHeight="true" outlineLevel="0" collapsed="false">
      <c r="B6" s="91"/>
      <c r="C6" s="116" t="s">
        <v>198</v>
      </c>
      <c r="D6" s="92"/>
      <c r="E6" s="107"/>
      <c r="F6" s="117" t="s">
        <v>181</v>
      </c>
      <c r="G6" s="92" t="n">
        <f aca="false">G7+G8</f>
        <v>4050000</v>
      </c>
    </row>
    <row r="7" customFormat="false" ht="22.5" hidden="false" customHeight="true" outlineLevel="0" collapsed="false">
      <c r="B7" s="91"/>
      <c r="C7" s="110" t="s">
        <v>199</v>
      </c>
      <c r="D7" s="46" t="n">
        <v>120000</v>
      </c>
      <c r="E7" s="1" t="n">
        <v>11</v>
      </c>
      <c r="F7" s="111" t="s">
        <v>181</v>
      </c>
      <c r="G7" s="46" t="n">
        <f aca="false">D7*E7</f>
        <v>1320000</v>
      </c>
      <c r="H7" s="1" t="s">
        <v>200</v>
      </c>
    </row>
    <row r="8" customFormat="false" ht="22.5" hidden="false" customHeight="true" outlineLevel="0" collapsed="false">
      <c r="B8" s="91"/>
      <c r="C8" s="110" t="s">
        <v>201</v>
      </c>
      <c r="D8" s="46" t="n">
        <f aca="false">300000*0.7</f>
        <v>210000</v>
      </c>
      <c r="E8" s="1" t="n">
        <v>13</v>
      </c>
      <c r="F8" s="111" t="s">
        <v>181</v>
      </c>
      <c r="G8" s="46" t="n">
        <f aca="false">D8*E8</f>
        <v>2730000</v>
      </c>
      <c r="H8" s="1" t="s">
        <v>202</v>
      </c>
    </row>
    <row r="9" customFormat="false" ht="22.5" hidden="false" customHeight="true" outlineLevel="0" collapsed="false">
      <c r="B9" s="91"/>
      <c r="C9" s="102" t="s">
        <v>183</v>
      </c>
      <c r="D9" s="93"/>
      <c r="E9" s="93"/>
      <c r="F9" s="94"/>
      <c r="G9" s="94" t="n">
        <v>237337</v>
      </c>
      <c r="H9" s="112" t="s">
        <v>203</v>
      </c>
    </row>
    <row r="10" customFormat="false" ht="22.5" hidden="false" customHeight="true" outlineLevel="0" collapsed="false">
      <c r="B10" s="96"/>
      <c r="C10" s="109" t="s">
        <v>178</v>
      </c>
      <c r="D10" s="97"/>
      <c r="E10" s="97"/>
      <c r="F10" s="98"/>
      <c r="G10" s="98" t="n">
        <f aca="false">G5+G6+G9</f>
        <v>7167337</v>
      </c>
      <c r="H10" s="97" t="s">
        <v>190</v>
      </c>
    </row>
    <row r="11" customFormat="false" ht="22.5" hidden="false" customHeight="true" outlineLevel="0" collapsed="false">
      <c r="B11" s="113" t="s">
        <v>184</v>
      </c>
      <c r="C11" s="107" t="s">
        <v>204</v>
      </c>
      <c r="D11" s="107"/>
      <c r="E11" s="107"/>
      <c r="F11" s="117"/>
      <c r="G11" s="92" t="n">
        <f aca="false">G10</f>
        <v>7167337</v>
      </c>
      <c r="H11" s="1" t="s">
        <v>190</v>
      </c>
    </row>
    <row r="13" customFormat="false" ht="15.75" hidden="false" customHeight="false" outlineLevel="0" collapsed="false">
      <c r="B13" s="118" t="s">
        <v>205</v>
      </c>
    </row>
    <row r="14" customFormat="false" ht="15.75" hidden="false" customHeight="false" outlineLevel="0" collapsed="false">
      <c r="B14" s="119" t="s">
        <v>206</v>
      </c>
    </row>
    <row r="15" customFormat="false" ht="20.25" hidden="false" customHeight="true" outlineLevel="0" collapsed="false">
      <c r="B15" s="103" t="s">
        <v>207</v>
      </c>
    </row>
    <row r="16" customFormat="false" ht="20.25" hidden="false" customHeight="true" outlineLevel="0" collapsed="false">
      <c r="B16" s="119" t="s">
        <v>208</v>
      </c>
    </row>
    <row r="17" customFormat="false" ht="20.25" hidden="false" customHeight="true" outlineLevel="0" collapsed="false">
      <c r="B17" s="103" t="s">
        <v>209</v>
      </c>
    </row>
    <row r="18" customFormat="false" ht="15.75" hidden="false" customHeight="false" outlineLevel="0" collapsed="false">
      <c r="B18" s="119" t="s">
        <v>210</v>
      </c>
    </row>
    <row r="19" customFormat="false" ht="20.25" hidden="false" customHeight="true" outlineLevel="0" collapsed="false"/>
    <row r="20" customFormat="false" ht="20.25" hidden="false" customHeight="true" outlineLevel="0" collapsed="false">
      <c r="B20" s="103" t="s">
        <v>211</v>
      </c>
    </row>
    <row r="21" customFormat="false" ht="15.75" hidden="false" customHeight="false" outlineLevel="0" collapsed="false">
      <c r="B21" s="103" t="s">
        <v>212</v>
      </c>
      <c r="C21" s="119" t="s">
        <v>213</v>
      </c>
      <c r="D21" s="51" t="n">
        <v>13</v>
      </c>
      <c r="E21" s="119" t="s">
        <v>214</v>
      </c>
    </row>
    <row r="22" customFormat="false" ht="15.75" hidden="false" customHeight="false" outlineLevel="0" collapsed="false">
      <c r="C22" s="51" t="s">
        <v>215</v>
      </c>
      <c r="D22" s="51" t="n">
        <v>9</v>
      </c>
      <c r="E22" s="119" t="s">
        <v>33</v>
      </c>
    </row>
    <row r="23" customFormat="false" ht="15.75" hidden="false" customHeight="false" outlineLevel="0" collapsed="false">
      <c r="B23" s="103" t="s">
        <v>216</v>
      </c>
      <c r="C23" s="119" t="s">
        <v>217</v>
      </c>
      <c r="D23" s="51" t="n">
        <v>2</v>
      </c>
      <c r="E23" s="119" t="s">
        <v>214</v>
      </c>
    </row>
    <row r="24" customFormat="false" ht="15.75" hidden="false" customHeight="false" outlineLevel="0" collapsed="false">
      <c r="C24" s="51" t="s">
        <v>218</v>
      </c>
      <c r="D24" s="51" t="n">
        <v>4</v>
      </c>
      <c r="E24" s="119" t="s">
        <v>214</v>
      </c>
    </row>
    <row r="25" customFormat="false" ht="15.75" hidden="false" customHeight="false" outlineLevel="0" collapsed="false">
      <c r="C25" s="119" t="s">
        <v>219</v>
      </c>
      <c r="D25" s="51" t="n">
        <v>1</v>
      </c>
      <c r="E25" s="119" t="s">
        <v>214</v>
      </c>
    </row>
    <row r="26" customFormat="false" ht="15.75" hidden="false" customHeight="false" outlineLevel="0" collapsed="false">
      <c r="C26" s="51" t="s">
        <v>220</v>
      </c>
      <c r="D26" s="51" t="n">
        <v>6</v>
      </c>
      <c r="E26" s="119" t="s">
        <v>33</v>
      </c>
    </row>
    <row r="27" customFormat="false" ht="15.75" hidden="false" customHeight="false" outlineLevel="0" collapsed="false">
      <c r="C27" s="51" t="s">
        <v>221</v>
      </c>
      <c r="D27" s="51" t="n">
        <v>9</v>
      </c>
      <c r="E27" s="119" t="s">
        <v>52</v>
      </c>
    </row>
    <row r="28" customFormat="false" ht="15.75" hidden="false" customHeight="false" outlineLevel="0" collapsed="false">
      <c r="B28" s="103" t="s">
        <v>222</v>
      </c>
      <c r="C28" s="119" t="s">
        <v>223</v>
      </c>
      <c r="D28" s="51" t="n">
        <v>9</v>
      </c>
      <c r="E28" s="119" t="s">
        <v>224</v>
      </c>
    </row>
    <row r="29" customFormat="false" ht="15.75" hidden="false" customHeight="false" outlineLevel="0" collapsed="false">
      <c r="C29" s="51" t="s">
        <v>225</v>
      </c>
      <c r="D29" s="51" t="n">
        <v>15</v>
      </c>
      <c r="E29" s="119" t="s">
        <v>33</v>
      </c>
    </row>
  </sheetData>
  <dataValidations count="1">
    <dataValidation allowBlank="true" errorStyle="stop" operator="between" showDropDown="true" showErrorMessage="false" showInputMessage="false" sqref="G5:G11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outlinePr summaryBelow="0"/>
    <pageSetUpPr fitToPage="true"/>
  </sheetPr>
  <dimension ref="B4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7.5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226</v>
      </c>
      <c r="C5" s="107" t="s">
        <v>196</v>
      </c>
      <c r="D5" s="117" t="n">
        <v>480000</v>
      </c>
      <c r="E5" s="114" t="n">
        <v>5</v>
      </c>
      <c r="F5" s="115" t="s">
        <v>15</v>
      </c>
      <c r="G5" s="92" t="n">
        <f aca="false">D5*E5</f>
        <v>2400000</v>
      </c>
      <c r="H5" s="108" t="s">
        <v>227</v>
      </c>
    </row>
    <row r="6" customFormat="false" ht="22.5" hidden="false" customHeight="true" outlineLevel="0" collapsed="false">
      <c r="B6" s="91"/>
      <c r="C6" s="116" t="s">
        <v>198</v>
      </c>
      <c r="D6" s="117"/>
      <c r="E6" s="107"/>
      <c r="F6" s="117" t="s">
        <v>181</v>
      </c>
      <c r="G6" s="92" t="n">
        <f aca="false">G7+G8</f>
        <v>4230000</v>
      </c>
    </row>
    <row r="7" customFormat="false" ht="22.5" hidden="false" customHeight="true" outlineLevel="0" collapsed="false">
      <c r="B7" s="91"/>
      <c r="C7" s="110" t="s">
        <v>199</v>
      </c>
      <c r="D7" s="46" t="n">
        <v>120000</v>
      </c>
      <c r="E7" s="1" t="n">
        <v>9</v>
      </c>
      <c r="F7" s="111" t="s">
        <v>181</v>
      </c>
      <c r="G7" s="46" t="n">
        <f aca="false">D7*E7</f>
        <v>1080000</v>
      </c>
      <c r="H7" s="108" t="s">
        <v>223</v>
      </c>
    </row>
    <row r="8" customFormat="false" ht="22.5" hidden="false" customHeight="true" outlineLevel="0" collapsed="false">
      <c r="B8" s="91"/>
      <c r="C8" s="110" t="s">
        <v>201</v>
      </c>
      <c r="D8" s="46" t="n">
        <f aca="false">300000*0.7</f>
        <v>210000</v>
      </c>
      <c r="E8" s="1" t="n">
        <v>15</v>
      </c>
      <c r="F8" s="111" t="s">
        <v>181</v>
      </c>
      <c r="G8" s="46" t="n">
        <f aca="false">D8*E8</f>
        <v>3150000</v>
      </c>
      <c r="H8" s="1" t="s">
        <v>225</v>
      </c>
    </row>
    <row r="9" customFormat="false" ht="22.5" hidden="false" customHeight="true" outlineLevel="0" collapsed="false">
      <c r="B9" s="91"/>
      <c r="C9" s="102" t="s">
        <v>183</v>
      </c>
      <c r="D9" s="93"/>
      <c r="E9" s="93"/>
      <c r="F9" s="94"/>
      <c r="G9" s="94" t="n">
        <f aca="false">59517+310106+435077</f>
        <v>804700</v>
      </c>
      <c r="H9" s="112" t="s">
        <v>228</v>
      </c>
    </row>
    <row r="10" customFormat="false" ht="22.5" hidden="false" customHeight="true" outlineLevel="0" collapsed="false">
      <c r="B10" s="96"/>
      <c r="C10" s="109" t="s">
        <v>178</v>
      </c>
      <c r="D10" s="97"/>
      <c r="E10" s="97"/>
      <c r="F10" s="98"/>
      <c r="G10" s="98" t="n">
        <f aca="false">G5+G6+G9</f>
        <v>7434700</v>
      </c>
      <c r="H10" s="97" t="s">
        <v>190</v>
      </c>
    </row>
    <row r="11" customFormat="false" ht="22.5" hidden="false" customHeight="true" outlineLevel="0" collapsed="false">
      <c r="B11" s="113" t="s">
        <v>184</v>
      </c>
      <c r="C11" s="107" t="s">
        <v>229</v>
      </c>
      <c r="D11" s="107"/>
      <c r="E11" s="107"/>
      <c r="F11" s="117"/>
      <c r="G11" s="92" t="n">
        <f aca="false">G10</f>
        <v>7434700</v>
      </c>
      <c r="H11" s="1" t="s">
        <v>190</v>
      </c>
    </row>
    <row r="13" customFormat="false" ht="15.75" hidden="false" customHeight="false" outlineLevel="0" collapsed="false">
      <c r="B13" s="118" t="s">
        <v>205</v>
      </c>
    </row>
    <row r="14" customFormat="false" ht="15.75" hidden="false" customHeight="false" outlineLevel="0" collapsed="false">
      <c r="B14" s="119" t="s">
        <v>206</v>
      </c>
    </row>
    <row r="15" customFormat="false" ht="20.25" hidden="false" customHeight="true" outlineLevel="0" collapsed="false">
      <c r="B15" s="103" t="s">
        <v>207</v>
      </c>
    </row>
    <row r="16" customFormat="false" ht="20.25" hidden="false" customHeight="true" outlineLevel="0" collapsed="false">
      <c r="B16" s="119" t="s">
        <v>208</v>
      </c>
    </row>
    <row r="17" customFormat="false" ht="20.25" hidden="false" customHeight="true" outlineLevel="0" collapsed="false">
      <c r="B17" s="103" t="s">
        <v>209</v>
      </c>
    </row>
    <row r="18" customFormat="false" ht="15.75" hidden="false" customHeight="false" outlineLevel="0" collapsed="false">
      <c r="B18" s="119" t="s">
        <v>210</v>
      </c>
    </row>
    <row r="19" customFormat="false" ht="20.25" hidden="false" customHeight="true" outlineLevel="0" collapsed="false"/>
    <row r="20" customFormat="false" ht="20.25" hidden="false" customHeight="true" outlineLevel="0" collapsed="false">
      <c r="B20" s="103" t="s">
        <v>211</v>
      </c>
    </row>
    <row r="21" customFormat="false" ht="15.75" hidden="false" customHeight="false" outlineLevel="0" collapsed="false">
      <c r="B21" s="103" t="s">
        <v>212</v>
      </c>
      <c r="C21" s="119" t="s">
        <v>213</v>
      </c>
      <c r="D21" s="51" t="n">
        <v>13</v>
      </c>
      <c r="E21" s="119" t="s">
        <v>214</v>
      </c>
    </row>
    <row r="22" customFormat="false" ht="15.75" hidden="false" customHeight="false" outlineLevel="0" collapsed="false">
      <c r="C22" s="51" t="s">
        <v>215</v>
      </c>
      <c r="D22" s="51" t="n">
        <v>9</v>
      </c>
      <c r="E22" s="119" t="s">
        <v>33</v>
      </c>
    </row>
    <row r="23" customFormat="false" ht="15.75" hidden="false" customHeight="false" outlineLevel="0" collapsed="false">
      <c r="B23" s="103" t="s">
        <v>216</v>
      </c>
      <c r="C23" s="119" t="s">
        <v>217</v>
      </c>
      <c r="D23" s="51" t="n">
        <v>2</v>
      </c>
      <c r="E23" s="119" t="s">
        <v>214</v>
      </c>
    </row>
    <row r="24" customFormat="false" ht="15.75" hidden="false" customHeight="false" outlineLevel="0" collapsed="false">
      <c r="C24" s="51" t="s">
        <v>218</v>
      </c>
      <c r="D24" s="51" t="n">
        <v>4</v>
      </c>
      <c r="E24" s="119" t="s">
        <v>214</v>
      </c>
    </row>
    <row r="25" customFormat="false" ht="15.75" hidden="false" customHeight="false" outlineLevel="0" collapsed="false">
      <c r="C25" s="119" t="s">
        <v>219</v>
      </c>
      <c r="D25" s="51" t="n">
        <v>1</v>
      </c>
      <c r="E25" s="119" t="s">
        <v>214</v>
      </c>
    </row>
    <row r="26" customFormat="false" ht="15.75" hidden="false" customHeight="false" outlineLevel="0" collapsed="false">
      <c r="C26" s="51" t="s">
        <v>220</v>
      </c>
      <c r="D26" s="51" t="n">
        <v>6</v>
      </c>
      <c r="E26" s="119" t="s">
        <v>33</v>
      </c>
    </row>
    <row r="27" customFormat="false" ht="15.75" hidden="false" customHeight="false" outlineLevel="0" collapsed="false">
      <c r="C27" s="51" t="s">
        <v>221</v>
      </c>
      <c r="D27" s="51" t="n">
        <v>9</v>
      </c>
      <c r="E27" s="119" t="s">
        <v>52</v>
      </c>
    </row>
    <row r="28" customFormat="false" ht="15.75" hidden="false" customHeight="false" outlineLevel="0" collapsed="false">
      <c r="B28" s="103" t="s">
        <v>222</v>
      </c>
      <c r="C28" s="119" t="s">
        <v>223</v>
      </c>
      <c r="D28" s="51" t="n">
        <v>9</v>
      </c>
      <c r="E28" s="119" t="s">
        <v>224</v>
      </c>
    </row>
    <row r="29" customFormat="false" ht="15.75" hidden="false" customHeight="false" outlineLevel="0" collapsed="false">
      <c r="C29" s="51" t="s">
        <v>225</v>
      </c>
      <c r="D29" s="51" t="n">
        <v>15</v>
      </c>
      <c r="E29" s="119" t="s">
        <v>33</v>
      </c>
    </row>
  </sheetData>
  <dataValidations count="1">
    <dataValidation allowBlank="true" errorStyle="stop" operator="between" showDropDown="true" showErrorMessage="false" showInputMessage="false" sqref="G5:G11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outlinePr summaryBelow="0"/>
    <pageSetUpPr fitToPage="true"/>
  </sheetPr>
  <dimension ref="B4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7.5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230</v>
      </c>
      <c r="C5" s="107" t="s">
        <v>196</v>
      </c>
      <c r="D5" s="117" t="n">
        <v>480000</v>
      </c>
      <c r="E5" s="114" t="n">
        <v>6</v>
      </c>
      <c r="F5" s="115" t="s">
        <v>15</v>
      </c>
      <c r="G5" s="92" t="n">
        <f aca="false">D5*E5</f>
        <v>2880000</v>
      </c>
      <c r="H5" s="120" t="s">
        <v>231</v>
      </c>
    </row>
    <row r="6" customFormat="false" ht="22.5" hidden="false" customHeight="true" outlineLevel="0" collapsed="false">
      <c r="B6" s="91"/>
      <c r="C6" s="116" t="s">
        <v>198</v>
      </c>
      <c r="D6" s="117" t="n">
        <f aca="false">D7+D8</f>
        <v>330000</v>
      </c>
      <c r="E6" s="107" t="n">
        <v>7</v>
      </c>
      <c r="F6" s="117" t="s">
        <v>181</v>
      </c>
      <c r="G6" s="92" t="n">
        <f aca="false">G7+G8</f>
        <v>3390000</v>
      </c>
      <c r="H6" s="120" t="s">
        <v>232</v>
      </c>
    </row>
    <row r="7" customFormat="false" ht="22.5" hidden="false" customHeight="true" outlineLevel="0" collapsed="false">
      <c r="B7" s="91"/>
      <c r="C7" s="110" t="s">
        <v>199</v>
      </c>
      <c r="D7" s="46" t="n">
        <v>120000</v>
      </c>
      <c r="E7" s="1" t="n">
        <v>16</v>
      </c>
      <c r="F7" s="111" t="s">
        <v>181</v>
      </c>
      <c r="G7" s="46" t="n">
        <f aca="false">D7*E7</f>
        <v>1920000</v>
      </c>
      <c r="H7" s="108" t="s">
        <v>233</v>
      </c>
    </row>
    <row r="8" customFormat="false" ht="22.5" hidden="false" customHeight="true" outlineLevel="0" collapsed="false">
      <c r="B8" s="91"/>
      <c r="C8" s="110" t="s">
        <v>201</v>
      </c>
      <c r="D8" s="46" t="n">
        <f aca="false">300000*0.7</f>
        <v>210000</v>
      </c>
      <c r="E8" s="1" t="n">
        <v>7</v>
      </c>
      <c r="F8" s="111" t="s">
        <v>181</v>
      </c>
      <c r="G8" s="46" t="n">
        <f aca="false">D8*E8</f>
        <v>1470000</v>
      </c>
      <c r="H8" s="1" t="s">
        <v>234</v>
      </c>
    </row>
    <row r="9" customFormat="false" ht="22.5" hidden="false" customHeight="true" outlineLevel="0" collapsed="false">
      <c r="B9" s="91"/>
      <c r="C9" s="102" t="s">
        <v>183</v>
      </c>
      <c r="D9" s="93"/>
      <c r="E9" s="93"/>
      <c r="F9" s="94"/>
      <c r="G9" s="94" t="n">
        <f aca="false">58104+472272+26657</f>
        <v>557033</v>
      </c>
      <c r="H9" s="112" t="s">
        <v>235</v>
      </c>
    </row>
    <row r="10" customFormat="false" ht="22.5" hidden="false" customHeight="true" outlineLevel="0" collapsed="false">
      <c r="B10" s="96"/>
      <c r="C10" s="109" t="s">
        <v>178</v>
      </c>
      <c r="D10" s="97"/>
      <c r="E10" s="97"/>
      <c r="F10" s="98"/>
      <c r="G10" s="98" t="n">
        <f aca="false">G5+G6+G9</f>
        <v>6827033</v>
      </c>
      <c r="H10" s="97" t="s">
        <v>190</v>
      </c>
    </row>
    <row r="11" customFormat="false" ht="22.5" hidden="false" customHeight="true" outlineLevel="0" collapsed="false">
      <c r="B11" s="113" t="s">
        <v>184</v>
      </c>
      <c r="C11" s="107" t="s">
        <v>236</v>
      </c>
      <c r="D11" s="107"/>
      <c r="E11" s="107"/>
      <c r="F11" s="117"/>
      <c r="G11" s="92" t="n">
        <f aca="false">G10</f>
        <v>6827033</v>
      </c>
      <c r="H11" s="1" t="s">
        <v>190</v>
      </c>
    </row>
    <row r="13" customFormat="false" ht="15.75" hidden="false" customHeight="false" outlineLevel="0" collapsed="false">
      <c r="B13" s="118" t="s">
        <v>205</v>
      </c>
    </row>
    <row r="14" customFormat="false" ht="15.75" hidden="false" customHeight="false" outlineLevel="0" collapsed="false">
      <c r="B14" s="119" t="s">
        <v>206</v>
      </c>
    </row>
    <row r="15" customFormat="false" ht="20.25" hidden="false" customHeight="true" outlineLevel="0" collapsed="false">
      <c r="B15" s="103" t="s">
        <v>207</v>
      </c>
    </row>
    <row r="16" customFormat="false" ht="20.25" hidden="false" customHeight="true" outlineLevel="0" collapsed="false">
      <c r="B16" s="119" t="s">
        <v>208</v>
      </c>
    </row>
    <row r="17" customFormat="false" ht="20.25" hidden="false" customHeight="true" outlineLevel="0" collapsed="false">
      <c r="B17" s="103" t="s">
        <v>209</v>
      </c>
    </row>
    <row r="18" customFormat="false" ht="41.75" hidden="false" customHeight="false" outlineLevel="0" collapsed="false">
      <c r="B18" s="121" t="s">
        <v>237</v>
      </c>
    </row>
    <row r="19" customFormat="false" ht="20.25" hidden="false" customHeight="true" outlineLevel="0" collapsed="false"/>
    <row r="20" customFormat="false" ht="20.25" hidden="false" customHeight="true" outlineLevel="0" collapsed="false">
      <c r="B20" s="103" t="s">
        <v>211</v>
      </c>
    </row>
    <row r="21" customFormat="false" ht="15.75" hidden="false" customHeight="false" outlineLevel="0" collapsed="false">
      <c r="B21" s="103" t="s">
        <v>212</v>
      </c>
      <c r="C21" s="119" t="s">
        <v>213</v>
      </c>
      <c r="D21" s="51" t="n">
        <v>13</v>
      </c>
      <c r="E21" s="119" t="s">
        <v>214</v>
      </c>
    </row>
    <row r="22" customFormat="false" ht="15.75" hidden="false" customHeight="false" outlineLevel="0" collapsed="false">
      <c r="C22" s="51" t="s">
        <v>215</v>
      </c>
      <c r="D22" s="51" t="n">
        <v>9</v>
      </c>
      <c r="E22" s="119" t="s">
        <v>33</v>
      </c>
    </row>
    <row r="23" customFormat="false" ht="15.75" hidden="false" customHeight="false" outlineLevel="0" collapsed="false">
      <c r="B23" s="103" t="s">
        <v>216</v>
      </c>
      <c r="C23" s="119" t="s">
        <v>217</v>
      </c>
      <c r="D23" s="51" t="n">
        <v>2</v>
      </c>
      <c r="E23" s="119" t="s">
        <v>214</v>
      </c>
    </row>
    <row r="24" customFormat="false" ht="15.75" hidden="false" customHeight="false" outlineLevel="0" collapsed="false">
      <c r="C24" s="51" t="s">
        <v>218</v>
      </c>
      <c r="D24" s="51" t="n">
        <v>4</v>
      </c>
      <c r="E24" s="119" t="s">
        <v>214</v>
      </c>
    </row>
    <row r="25" customFormat="false" ht="15.75" hidden="false" customHeight="false" outlineLevel="0" collapsed="false">
      <c r="C25" s="119" t="s">
        <v>219</v>
      </c>
      <c r="D25" s="51" t="n">
        <v>1</v>
      </c>
      <c r="E25" s="119" t="s">
        <v>214</v>
      </c>
    </row>
    <row r="26" customFormat="false" ht="55.2" hidden="false" customHeight="false" outlineLevel="0" collapsed="false">
      <c r="C26" s="122" t="s">
        <v>220</v>
      </c>
      <c r="D26" s="51" t="n">
        <v>6</v>
      </c>
      <c r="E26" s="119" t="s">
        <v>33</v>
      </c>
    </row>
    <row r="27" customFormat="false" ht="15.75" hidden="false" customHeight="false" outlineLevel="0" collapsed="false">
      <c r="C27" s="51" t="s">
        <v>221</v>
      </c>
      <c r="D27" s="51" t="n">
        <v>9</v>
      </c>
      <c r="E27" s="119" t="s">
        <v>52</v>
      </c>
    </row>
  </sheetData>
  <dataValidations count="1">
    <dataValidation allowBlank="true" errorStyle="stop" operator="between" showDropDown="true" showErrorMessage="false" showInputMessage="false" sqref="G5:G11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outlinePr summaryBelow="0"/>
    <pageSetUpPr fitToPage="true"/>
  </sheetPr>
  <dimension ref="B4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4.88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238</v>
      </c>
      <c r="C5" s="107" t="s">
        <v>188</v>
      </c>
      <c r="D5" s="1" t="s">
        <v>81</v>
      </c>
      <c r="E5" s="1" t="s">
        <v>81</v>
      </c>
      <c r="F5" s="46"/>
      <c r="G5" s="46" t="n">
        <v>2000000</v>
      </c>
      <c r="H5" s="108" t="s">
        <v>239</v>
      </c>
    </row>
    <row r="6" customFormat="false" ht="22.5" hidden="false" customHeight="true" outlineLevel="0" collapsed="false">
      <c r="B6" s="123"/>
      <c r="C6" s="109" t="s">
        <v>178</v>
      </c>
      <c r="D6" s="97"/>
      <c r="E6" s="97"/>
      <c r="F6" s="98"/>
      <c r="G6" s="98" t="n">
        <v>2000000</v>
      </c>
      <c r="H6" s="97" t="s">
        <v>190</v>
      </c>
    </row>
    <row r="7" customFormat="false" ht="22.5" hidden="false" customHeight="true" outlineLevel="0" collapsed="false">
      <c r="B7" s="99" t="s">
        <v>240</v>
      </c>
      <c r="C7" s="107" t="s">
        <v>196</v>
      </c>
      <c r="D7" s="117" t="n">
        <v>480000</v>
      </c>
      <c r="E7" s="114" t="n">
        <v>9</v>
      </c>
      <c r="F7" s="115" t="s">
        <v>15</v>
      </c>
      <c r="G7" s="92" t="n">
        <f aca="false">D7*E7</f>
        <v>4320000</v>
      </c>
      <c r="H7" s="108" t="s">
        <v>241</v>
      </c>
    </row>
    <row r="8" customFormat="false" ht="22.5" hidden="false" customHeight="true" outlineLevel="0" collapsed="false">
      <c r="B8" s="91"/>
      <c r="C8" s="116" t="s">
        <v>198</v>
      </c>
      <c r="D8" s="117" t="n">
        <f aca="false">D9+D10</f>
        <v>330000</v>
      </c>
      <c r="E8" s="107" t="n">
        <v>13</v>
      </c>
      <c r="F8" s="117" t="s">
        <v>181</v>
      </c>
      <c r="G8" s="92" t="n">
        <f aca="false">D8*E8</f>
        <v>4290000</v>
      </c>
      <c r="H8" s="108" t="s">
        <v>242</v>
      </c>
    </row>
    <row r="9" customFormat="false" ht="22.5" hidden="false" customHeight="true" outlineLevel="0" collapsed="false">
      <c r="B9" s="91"/>
      <c r="C9" s="110" t="s">
        <v>199</v>
      </c>
      <c r="D9" s="46" t="n">
        <v>120000</v>
      </c>
      <c r="E9" s="1" t="n">
        <v>13</v>
      </c>
      <c r="F9" s="111" t="s">
        <v>181</v>
      </c>
      <c r="G9" s="46" t="n">
        <f aca="false">D9*E9</f>
        <v>1560000</v>
      </c>
      <c r="H9" s="1"/>
    </row>
    <row r="10" customFormat="false" ht="22.5" hidden="false" customHeight="true" outlineLevel="0" collapsed="false">
      <c r="B10" s="91"/>
      <c r="C10" s="110" t="s">
        <v>201</v>
      </c>
      <c r="D10" s="46" t="n">
        <f aca="false">300000*0.7</f>
        <v>210000</v>
      </c>
      <c r="E10" s="1" t="n">
        <v>13</v>
      </c>
      <c r="F10" s="111" t="s">
        <v>181</v>
      </c>
      <c r="G10" s="46" t="n">
        <f aca="false">D10*E10</f>
        <v>2730000</v>
      </c>
      <c r="H10" s="1" t="s">
        <v>234</v>
      </c>
    </row>
    <row r="11" customFormat="false" ht="22.5" hidden="false" customHeight="true" outlineLevel="0" collapsed="false">
      <c r="B11" s="91"/>
      <c r="C11" s="102" t="s">
        <v>183</v>
      </c>
      <c r="D11" s="93"/>
      <c r="E11" s="93"/>
      <c r="F11" s="94"/>
      <c r="G11" s="94" t="n">
        <v>85800</v>
      </c>
      <c r="H11" s="112" t="s">
        <v>235</v>
      </c>
    </row>
    <row r="12" customFormat="false" ht="22.5" hidden="false" customHeight="true" outlineLevel="0" collapsed="false">
      <c r="B12" s="96"/>
      <c r="C12" s="109" t="s">
        <v>178</v>
      </c>
      <c r="D12" s="97"/>
      <c r="E12" s="97"/>
      <c r="F12" s="98"/>
      <c r="G12" s="98" t="n">
        <f aca="false">G7+G8+G11</f>
        <v>8695800</v>
      </c>
      <c r="H12" s="97" t="s">
        <v>190</v>
      </c>
    </row>
    <row r="13" customFormat="false" ht="22.5" hidden="false" customHeight="true" outlineLevel="0" collapsed="false">
      <c r="B13" s="113" t="s">
        <v>184</v>
      </c>
      <c r="C13" s="107" t="s">
        <v>243</v>
      </c>
      <c r="D13" s="107"/>
      <c r="E13" s="107"/>
      <c r="F13" s="117"/>
      <c r="G13" s="92" t="n">
        <f aca="false">G6+G12</f>
        <v>10695800</v>
      </c>
      <c r="H13" s="1" t="s">
        <v>190</v>
      </c>
    </row>
    <row r="15" customFormat="false" ht="15.75" hidden="false" customHeight="false" outlineLevel="0" collapsed="false">
      <c r="B15" s="118" t="s">
        <v>205</v>
      </c>
    </row>
    <row r="16" customFormat="false" ht="15.75" hidden="false" customHeight="false" outlineLevel="0" collapsed="false">
      <c r="B16" s="119" t="s">
        <v>206</v>
      </c>
    </row>
    <row r="17" customFormat="false" ht="20.25" hidden="false" customHeight="true" outlineLevel="0" collapsed="false">
      <c r="B17" s="103" t="s">
        <v>207</v>
      </c>
    </row>
    <row r="18" customFormat="false" ht="20.25" hidden="false" customHeight="true" outlineLevel="0" collapsed="false">
      <c r="B18" s="119" t="s">
        <v>208</v>
      </c>
    </row>
    <row r="19" customFormat="false" ht="15.75" hidden="false" customHeight="false" outlineLevel="0" collapsed="false">
      <c r="B19" s="103" t="s">
        <v>209</v>
      </c>
    </row>
    <row r="20" customFormat="false" ht="28.35" hidden="false" customHeight="false" outlineLevel="0" collapsed="false">
      <c r="B20" s="122" t="s">
        <v>244</v>
      </c>
    </row>
  </sheetData>
  <dataValidations count="1">
    <dataValidation allowBlank="true" errorStyle="stop" operator="between" showDropDown="true" showErrorMessage="false" showInputMessage="false" sqref="G5:G13" type="custom">
      <formula1>AND(ISNUMBER(G5),(NOT(OR(NOT(ISERROR(DATEVALUE(G5))), AND(ISNUMBER(G5), LEFT(CELL("format", G5))="D")))))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A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8.75"/>
    <col collapsed="false" customWidth="true" hidden="false" outlineLevel="0" max="3" min="3" style="0" width="18.25"/>
    <col collapsed="false" customWidth="true" hidden="false" outlineLevel="0" max="4" min="4" style="0" width="26.63"/>
    <col collapsed="false" customWidth="true" hidden="false" outlineLevel="0" max="8" min="5" style="0" width="7"/>
    <col collapsed="false" customWidth="true" hidden="false" outlineLevel="0" max="10" min="9" style="0" width="15.25"/>
    <col collapsed="false" customWidth="true" hidden="false" outlineLevel="0" max="11" min="11" style="0" width="62"/>
  </cols>
  <sheetData>
    <row r="2" customFormat="false" ht="15.75" hidden="false" customHeight="false" outlineLevel="0" collapsed="false">
      <c r="B2" s="124" t="s">
        <v>245</v>
      </c>
    </row>
    <row r="4" customFormat="false" ht="15.75" hidden="false" customHeight="false" outlineLevel="0" collapsed="false">
      <c r="B4" s="125" t="s">
        <v>2</v>
      </c>
      <c r="C4" s="125" t="s">
        <v>3</v>
      </c>
      <c r="D4" s="125" t="s">
        <v>4</v>
      </c>
      <c r="E4" s="125" t="s">
        <v>5</v>
      </c>
      <c r="F4" s="125" t="s">
        <v>6</v>
      </c>
      <c r="G4" s="125" t="s">
        <v>7</v>
      </c>
      <c r="H4" s="125" t="s">
        <v>6</v>
      </c>
      <c r="I4" s="125" t="s">
        <v>8</v>
      </c>
      <c r="J4" s="125" t="s">
        <v>9</v>
      </c>
      <c r="K4" s="125" t="s">
        <v>10</v>
      </c>
    </row>
    <row r="5" customFormat="false" ht="15.75" hidden="false" customHeight="true" outlineLevel="0" collapsed="false">
      <c r="B5" s="5" t="s">
        <v>11</v>
      </c>
      <c r="C5" s="6" t="s">
        <v>12</v>
      </c>
      <c r="D5" s="126" t="s">
        <v>13</v>
      </c>
      <c r="E5" s="127" t="n">
        <v>1</v>
      </c>
      <c r="F5" s="127" t="s">
        <v>14</v>
      </c>
      <c r="G5" s="127" t="n">
        <v>1</v>
      </c>
      <c r="H5" s="126" t="s">
        <v>15</v>
      </c>
      <c r="I5" s="128" t="n">
        <v>200000</v>
      </c>
      <c r="J5" s="128" t="n">
        <f aca="false">E5*G5*I5</f>
        <v>200000</v>
      </c>
      <c r="K5" s="129"/>
    </row>
    <row r="6" customFormat="false" ht="15.75" hidden="false" customHeight="false" outlineLevel="0" collapsed="false">
      <c r="B6" s="5"/>
      <c r="C6" s="6"/>
      <c r="D6" s="126" t="s">
        <v>16</v>
      </c>
      <c r="E6" s="126" t="n">
        <v>1</v>
      </c>
      <c r="F6" s="127" t="s">
        <v>14</v>
      </c>
      <c r="G6" s="126" t="n">
        <v>3</v>
      </c>
      <c r="H6" s="126" t="s">
        <v>17</v>
      </c>
      <c r="I6" s="128" t="n">
        <v>600000</v>
      </c>
      <c r="J6" s="128" t="n">
        <f aca="false">E6*G6*I6</f>
        <v>1800000</v>
      </c>
      <c r="K6" s="130" t="s">
        <v>18</v>
      </c>
    </row>
    <row r="7" customFormat="false" ht="15.75" hidden="false" customHeight="false" outlineLevel="0" collapsed="false">
      <c r="B7" s="12" t="s">
        <v>19</v>
      </c>
      <c r="C7" s="12"/>
      <c r="D7" s="12"/>
      <c r="E7" s="12"/>
      <c r="F7" s="12"/>
      <c r="G7" s="12"/>
      <c r="H7" s="12"/>
      <c r="I7" s="12"/>
      <c r="J7" s="131" t="n">
        <f aca="false">SUM(J5:J6)</f>
        <v>2000000</v>
      </c>
      <c r="K7" s="132"/>
    </row>
    <row r="9" customFormat="false" ht="15.75" hidden="false" customHeight="false" outlineLevel="0" collapsed="false">
      <c r="B9" s="15" t="s">
        <v>20</v>
      </c>
      <c r="C9" s="15"/>
      <c r="D9" s="15"/>
      <c r="E9" s="15"/>
      <c r="F9" s="15"/>
      <c r="G9" s="15"/>
      <c r="H9" s="15"/>
      <c r="I9" s="15"/>
      <c r="J9" s="133"/>
      <c r="K9" s="133"/>
    </row>
    <row r="10" customFormat="false" ht="15.75" hidden="false" customHeight="false" outlineLevel="0" collapsed="false">
      <c r="B10" s="134" t="s">
        <v>246</v>
      </c>
      <c r="C10" s="135"/>
      <c r="D10" s="135"/>
      <c r="E10" s="135"/>
      <c r="F10" s="135"/>
      <c r="G10" s="135"/>
      <c r="H10" s="135"/>
      <c r="I10" s="135"/>
      <c r="J10" s="135"/>
      <c r="K10" s="135"/>
    </row>
    <row r="11" customFormat="false" ht="15.75" hidden="false" customHeight="false" outlineLevel="0" collapsed="false">
      <c r="B11" s="125" t="s">
        <v>2</v>
      </c>
      <c r="C11" s="125" t="s">
        <v>3</v>
      </c>
      <c r="D11" s="125" t="s">
        <v>4</v>
      </c>
      <c r="E11" s="125" t="s">
        <v>5</v>
      </c>
      <c r="F11" s="125" t="s">
        <v>6</v>
      </c>
      <c r="G11" s="125" t="s">
        <v>7</v>
      </c>
      <c r="H11" s="125" t="s">
        <v>6</v>
      </c>
      <c r="I11" s="125" t="s">
        <v>8</v>
      </c>
      <c r="J11" s="125" t="s">
        <v>9</v>
      </c>
      <c r="K11" s="125" t="s">
        <v>10</v>
      </c>
    </row>
    <row r="12" customFormat="false" ht="15.75" hidden="false" customHeight="true" outlineLevel="0" collapsed="false">
      <c r="B12" s="136" t="s">
        <v>247</v>
      </c>
      <c r="C12" s="20" t="s">
        <v>26</v>
      </c>
      <c r="D12" s="126" t="s">
        <v>52</v>
      </c>
      <c r="E12" s="126" t="n">
        <v>1</v>
      </c>
      <c r="F12" s="127" t="s">
        <v>14</v>
      </c>
      <c r="G12" s="126" t="n">
        <v>1</v>
      </c>
      <c r="H12" s="126" t="s">
        <v>15</v>
      </c>
      <c r="I12" s="128" t="n">
        <v>200000</v>
      </c>
      <c r="J12" s="128" t="n">
        <f aca="false">E12*G12*I12</f>
        <v>200000</v>
      </c>
      <c r="K12" s="137" t="s">
        <v>30</v>
      </c>
    </row>
    <row r="13" customFormat="false" ht="15.75" hidden="false" customHeight="false" outlineLevel="0" collapsed="false">
      <c r="B13" s="136"/>
      <c r="C13" s="136"/>
      <c r="D13" s="126" t="s">
        <v>248</v>
      </c>
      <c r="E13" s="126" t="n">
        <v>1</v>
      </c>
      <c r="F13" s="127" t="s">
        <v>14</v>
      </c>
      <c r="G13" s="126" t="n">
        <v>1</v>
      </c>
      <c r="H13" s="126" t="s">
        <v>15</v>
      </c>
      <c r="I13" s="128" t="n">
        <v>300000</v>
      </c>
      <c r="J13" s="128" t="n">
        <f aca="false">E13*G13*I13</f>
        <v>300000</v>
      </c>
      <c r="K13" s="137" t="s">
        <v>32</v>
      </c>
    </row>
    <row r="14" customFormat="false" ht="15.75" hidden="false" customHeight="false" outlineLevel="0" collapsed="false">
      <c r="B14" s="136"/>
      <c r="C14" s="136"/>
      <c r="D14" s="126" t="s">
        <v>249</v>
      </c>
      <c r="E14" s="126" t="n">
        <v>1</v>
      </c>
      <c r="F14" s="127" t="s">
        <v>14</v>
      </c>
      <c r="G14" s="126" t="n">
        <v>2</v>
      </c>
      <c r="H14" s="127" t="s">
        <v>250</v>
      </c>
      <c r="I14" s="128" t="n">
        <v>300000</v>
      </c>
      <c r="J14" s="128" t="n">
        <f aca="false">E14*G14*I14</f>
        <v>600000</v>
      </c>
      <c r="K14" s="137" t="s">
        <v>251</v>
      </c>
    </row>
    <row r="15" customFormat="false" ht="15.75" hidden="false" customHeight="false" outlineLevel="0" collapsed="false">
      <c r="B15" s="136"/>
      <c r="C15" s="136"/>
      <c r="D15" s="126" t="s">
        <v>252</v>
      </c>
      <c r="E15" s="126" t="n">
        <v>1</v>
      </c>
      <c r="F15" s="127" t="s">
        <v>14</v>
      </c>
      <c r="G15" s="126" t="n">
        <v>3</v>
      </c>
      <c r="H15" s="126" t="s">
        <v>253</v>
      </c>
      <c r="I15" s="128" t="n">
        <v>100000</v>
      </c>
      <c r="J15" s="128" t="n">
        <f aca="false">E15*G15*I15</f>
        <v>300000</v>
      </c>
      <c r="K15" s="137" t="s">
        <v>254</v>
      </c>
    </row>
    <row r="16" customFormat="false" ht="15.75" hidden="false" customHeight="false" outlineLevel="0" collapsed="false">
      <c r="B16" s="136"/>
      <c r="C16" s="136"/>
      <c r="D16" s="126" t="s">
        <v>107</v>
      </c>
      <c r="E16" s="126" t="n">
        <v>1</v>
      </c>
      <c r="F16" s="127" t="s">
        <v>14</v>
      </c>
      <c r="G16" s="126" t="n">
        <v>2</v>
      </c>
      <c r="H16" s="126" t="s">
        <v>255</v>
      </c>
      <c r="I16" s="128" t="n">
        <v>400000</v>
      </c>
      <c r="J16" s="128" t="n">
        <f aca="false">E16*G16*I16</f>
        <v>800000</v>
      </c>
      <c r="K16" s="137" t="s">
        <v>256</v>
      </c>
    </row>
    <row r="17" customFormat="false" ht="15.75" hidden="false" customHeight="false" outlineLevel="0" collapsed="false">
      <c r="B17" s="136"/>
      <c r="C17" s="24" t="s">
        <v>257</v>
      </c>
      <c r="D17" s="24"/>
      <c r="E17" s="24"/>
      <c r="F17" s="24"/>
      <c r="G17" s="24"/>
      <c r="H17" s="24"/>
      <c r="I17" s="24"/>
      <c r="J17" s="131" t="n">
        <f aca="false">SUM(J12:J16)</f>
        <v>2200000</v>
      </c>
      <c r="K17" s="132"/>
    </row>
    <row r="18" customFormat="false" ht="15.75" hidden="false" customHeight="true" outlineLevel="0" collapsed="false">
      <c r="B18" s="136"/>
      <c r="C18" s="20" t="s">
        <v>48</v>
      </c>
      <c r="D18" s="126" t="s">
        <v>52</v>
      </c>
      <c r="E18" s="126" t="n">
        <v>1</v>
      </c>
      <c r="F18" s="127" t="s">
        <v>14</v>
      </c>
      <c r="G18" s="126" t="n">
        <v>1</v>
      </c>
      <c r="H18" s="126" t="s">
        <v>15</v>
      </c>
      <c r="I18" s="128" t="n">
        <v>300000</v>
      </c>
      <c r="J18" s="128" t="n">
        <f aca="false">E18*G18*I18</f>
        <v>300000</v>
      </c>
      <c r="K18" s="138" t="s">
        <v>258</v>
      </c>
    </row>
    <row r="19" customFormat="false" ht="15.75" hidden="false" customHeight="false" outlineLevel="0" collapsed="false">
      <c r="B19" s="136"/>
      <c r="C19" s="136"/>
      <c r="D19" s="126" t="s">
        <v>259</v>
      </c>
      <c r="E19" s="126" t="n">
        <v>1</v>
      </c>
      <c r="F19" s="127" t="s">
        <v>14</v>
      </c>
      <c r="G19" s="126" t="n">
        <v>2</v>
      </c>
      <c r="H19" s="126" t="s">
        <v>260</v>
      </c>
      <c r="I19" s="128" t="n">
        <v>300000</v>
      </c>
      <c r="J19" s="128" t="n">
        <f aca="false">E19*G19*I19</f>
        <v>600000</v>
      </c>
      <c r="K19" s="139" t="s">
        <v>261</v>
      </c>
    </row>
    <row r="20" customFormat="false" ht="15.75" hidden="false" customHeight="false" outlineLevel="0" collapsed="false">
      <c r="B20" s="136"/>
      <c r="C20" s="136"/>
      <c r="D20" s="126" t="s">
        <v>33</v>
      </c>
      <c r="E20" s="126" t="n">
        <v>1</v>
      </c>
      <c r="F20" s="127" t="s">
        <v>14</v>
      </c>
      <c r="G20" s="126" t="n">
        <v>2</v>
      </c>
      <c r="H20" s="127" t="s">
        <v>250</v>
      </c>
      <c r="I20" s="128" t="n">
        <v>300000</v>
      </c>
      <c r="J20" s="128" t="n">
        <f aca="false">E20*G20*I20</f>
        <v>600000</v>
      </c>
      <c r="K20" s="138"/>
    </row>
    <row r="21" customFormat="false" ht="15.75" hidden="false" customHeight="false" outlineLevel="0" collapsed="false">
      <c r="B21" s="136"/>
      <c r="C21" s="136"/>
      <c r="D21" s="126" t="s">
        <v>107</v>
      </c>
      <c r="E21" s="126" t="n">
        <v>1</v>
      </c>
      <c r="F21" s="127" t="s">
        <v>14</v>
      </c>
      <c r="G21" s="126" t="n">
        <v>3</v>
      </c>
      <c r="H21" s="126" t="s">
        <v>255</v>
      </c>
      <c r="I21" s="128" t="n">
        <v>400000</v>
      </c>
      <c r="J21" s="128" t="n">
        <f aca="false">E21*G21*I21</f>
        <v>1200000</v>
      </c>
      <c r="K21" s="138"/>
    </row>
    <row r="22" customFormat="false" ht="15.75" hidden="false" customHeight="false" outlineLevel="0" collapsed="false">
      <c r="B22" s="136"/>
      <c r="C22" s="24" t="s">
        <v>50</v>
      </c>
      <c r="D22" s="24"/>
      <c r="E22" s="24"/>
      <c r="F22" s="24"/>
      <c r="G22" s="24"/>
      <c r="H22" s="24"/>
      <c r="I22" s="24"/>
      <c r="J22" s="131" t="n">
        <f aca="false">SUM(J18:J21)</f>
        <v>2700000</v>
      </c>
      <c r="K22" s="132"/>
    </row>
    <row r="23" customFormat="false" ht="15.75" hidden="false" customHeight="true" outlineLevel="0" collapsed="false">
      <c r="B23" s="136"/>
      <c r="C23" s="31" t="s">
        <v>51</v>
      </c>
      <c r="D23" s="126" t="s">
        <v>52</v>
      </c>
      <c r="E23" s="126" t="n">
        <v>1</v>
      </c>
      <c r="F23" s="127" t="s">
        <v>14</v>
      </c>
      <c r="G23" s="126" t="n">
        <v>1</v>
      </c>
      <c r="H23" s="126" t="s">
        <v>15</v>
      </c>
      <c r="I23" s="128" t="n">
        <v>200000</v>
      </c>
      <c r="J23" s="128" t="n">
        <f aca="false">E23*G23*I23</f>
        <v>200000</v>
      </c>
      <c r="K23" s="138" t="s">
        <v>262</v>
      </c>
    </row>
    <row r="24" customFormat="false" ht="15.75" hidden="false" customHeight="false" outlineLevel="0" collapsed="false">
      <c r="B24" s="136"/>
      <c r="C24" s="136"/>
      <c r="D24" s="126" t="s">
        <v>33</v>
      </c>
      <c r="E24" s="126" t="n">
        <v>1</v>
      </c>
      <c r="F24" s="127" t="s">
        <v>14</v>
      </c>
      <c r="G24" s="126" t="n">
        <v>1</v>
      </c>
      <c r="H24" s="126" t="s">
        <v>15</v>
      </c>
      <c r="I24" s="128" t="n">
        <v>300000</v>
      </c>
      <c r="J24" s="128" t="n">
        <v>600000</v>
      </c>
      <c r="K24" s="138"/>
    </row>
    <row r="25" customFormat="false" ht="15.75" hidden="false" customHeight="false" outlineLevel="0" collapsed="false">
      <c r="B25" s="136"/>
      <c r="C25" s="31"/>
      <c r="D25" s="126" t="s">
        <v>107</v>
      </c>
      <c r="E25" s="126" t="n">
        <v>1</v>
      </c>
      <c r="F25" s="127" t="s">
        <v>14</v>
      </c>
      <c r="G25" s="126" t="n">
        <v>2</v>
      </c>
      <c r="H25" s="126" t="s">
        <v>255</v>
      </c>
      <c r="I25" s="128" t="n">
        <v>400000</v>
      </c>
      <c r="J25" s="128" t="n">
        <f aca="false">E25*G25*I25</f>
        <v>800000</v>
      </c>
      <c r="K25" s="138"/>
    </row>
    <row r="26" customFormat="false" ht="15.75" hidden="false" customHeight="false" outlineLevel="0" collapsed="false">
      <c r="B26" s="136"/>
      <c r="C26" s="24" t="s">
        <v>60</v>
      </c>
      <c r="D26" s="24"/>
      <c r="E26" s="24"/>
      <c r="F26" s="24"/>
      <c r="G26" s="24"/>
      <c r="H26" s="24"/>
      <c r="I26" s="24"/>
      <c r="J26" s="131" t="n">
        <f aca="false">SUM(J23:J25)</f>
        <v>1600000</v>
      </c>
      <c r="K26" s="132"/>
    </row>
    <row r="27" customFormat="false" ht="15.75" hidden="false" customHeight="true" outlineLevel="0" collapsed="false">
      <c r="B27" s="140" t="s">
        <v>263</v>
      </c>
      <c r="C27" s="141" t="s">
        <v>73</v>
      </c>
      <c r="D27" s="142" t="s">
        <v>74</v>
      </c>
      <c r="E27" s="126" t="n">
        <v>1</v>
      </c>
      <c r="F27" s="127" t="s">
        <v>14</v>
      </c>
      <c r="G27" s="126" t="n">
        <v>1</v>
      </c>
      <c r="H27" s="126" t="s">
        <v>15</v>
      </c>
      <c r="I27" s="128" t="n">
        <v>200000</v>
      </c>
      <c r="J27" s="128" t="n">
        <f aca="false">E27*G27*I27</f>
        <v>200000</v>
      </c>
      <c r="K27" s="34" t="s">
        <v>264</v>
      </c>
    </row>
    <row r="28" customFormat="false" ht="15.75" hidden="false" customHeight="false" outlineLevel="0" collapsed="false">
      <c r="B28" s="140"/>
      <c r="C28" s="141"/>
      <c r="D28" s="143" t="s">
        <v>265</v>
      </c>
      <c r="E28" s="126" t="n">
        <v>1</v>
      </c>
      <c r="F28" s="127" t="s">
        <v>14</v>
      </c>
      <c r="G28" s="126" t="n">
        <v>1</v>
      </c>
      <c r="H28" s="126" t="s">
        <v>15</v>
      </c>
      <c r="I28" s="128" t="n">
        <v>250000</v>
      </c>
      <c r="J28" s="128" t="n">
        <f aca="false">E28*G28*I28</f>
        <v>250000</v>
      </c>
      <c r="K28" s="33" t="s">
        <v>266</v>
      </c>
    </row>
    <row r="29" customFormat="false" ht="15.75" hidden="false" customHeight="false" outlineLevel="0" collapsed="false">
      <c r="B29" s="140"/>
      <c r="C29" s="24" t="s">
        <v>67</v>
      </c>
      <c r="D29" s="24"/>
      <c r="E29" s="24"/>
      <c r="F29" s="24"/>
      <c r="G29" s="24"/>
      <c r="H29" s="24"/>
      <c r="I29" s="24"/>
      <c r="J29" s="131" t="n">
        <f aca="false">SUM(J27:J28)</f>
        <v>450000</v>
      </c>
      <c r="K29" s="132"/>
    </row>
    <row r="30" customFormat="false" ht="15.75" hidden="false" customHeight="false" outlineLevel="0" collapsed="false">
      <c r="B30" s="140"/>
      <c r="C30" s="40" t="s">
        <v>66</v>
      </c>
      <c r="D30" s="142" t="s">
        <v>267</v>
      </c>
      <c r="E30" s="126" t="n">
        <v>1</v>
      </c>
      <c r="F30" s="127" t="s">
        <v>14</v>
      </c>
      <c r="G30" s="126" t="n">
        <v>1</v>
      </c>
      <c r="H30" s="126" t="s">
        <v>15</v>
      </c>
      <c r="I30" s="128" t="n">
        <v>200000</v>
      </c>
      <c r="J30" s="128" t="n">
        <f aca="false">E30*G30*I30</f>
        <v>200000</v>
      </c>
      <c r="K30" s="33" t="s">
        <v>268</v>
      </c>
    </row>
    <row r="31" customFormat="false" ht="15.75" hidden="false" customHeight="false" outlineLevel="0" collapsed="false">
      <c r="B31" s="140"/>
      <c r="C31" s="40"/>
      <c r="D31" s="142" t="s">
        <v>91</v>
      </c>
      <c r="E31" s="126" t="n">
        <v>1</v>
      </c>
      <c r="F31" s="127" t="s">
        <v>14</v>
      </c>
      <c r="G31" s="126" t="n">
        <v>1</v>
      </c>
      <c r="H31" s="126" t="s">
        <v>15</v>
      </c>
      <c r="I31" s="128" t="n">
        <v>200000</v>
      </c>
      <c r="J31" s="128" t="n">
        <f aca="false">E31*G31*I31</f>
        <v>200000</v>
      </c>
      <c r="K31" s="33" t="s">
        <v>92</v>
      </c>
    </row>
    <row r="32" customFormat="false" ht="15.75" hidden="false" customHeight="false" outlineLevel="0" collapsed="false">
      <c r="B32" s="140"/>
      <c r="C32" s="24" t="s">
        <v>67</v>
      </c>
      <c r="D32" s="24"/>
      <c r="E32" s="24"/>
      <c r="F32" s="24"/>
      <c r="G32" s="24"/>
      <c r="H32" s="24"/>
      <c r="I32" s="24"/>
      <c r="J32" s="131" t="n">
        <f aca="false">SUM(J30:J31)</f>
        <v>400000</v>
      </c>
      <c r="K32" s="132"/>
    </row>
    <row r="33" customFormat="false" ht="15.75" hidden="false" customHeight="false" outlineLevel="0" collapsed="false">
      <c r="B33" s="7" t="s">
        <v>61</v>
      </c>
      <c r="C33" s="7"/>
      <c r="D33" s="7"/>
      <c r="E33" s="7"/>
      <c r="F33" s="7"/>
      <c r="G33" s="7"/>
      <c r="H33" s="7"/>
      <c r="I33" s="7"/>
      <c r="J33" s="42" t="n">
        <v>200000</v>
      </c>
      <c r="K33" s="33"/>
    </row>
    <row r="34" customFormat="false" ht="15.75" hidden="false" customHeight="false" outlineLevel="0" collapsed="false">
      <c r="B34" s="43" t="s">
        <v>69</v>
      </c>
      <c r="C34" s="43"/>
      <c r="D34" s="43"/>
      <c r="E34" s="43"/>
      <c r="F34" s="43"/>
      <c r="G34" s="43"/>
      <c r="H34" s="43"/>
      <c r="I34" s="43"/>
      <c r="J34" s="144" t="n">
        <f aca="false">J17+J22+J26+J29+J32+J33-50000</f>
        <v>7500000</v>
      </c>
      <c r="K34" s="145" t="s">
        <v>269</v>
      </c>
    </row>
    <row r="35" customFormat="false" ht="15.75" hidden="false" customHeight="false" outlineLevel="0" collapsed="false">
      <c r="A35" s="68"/>
      <c r="B35" s="68"/>
      <c r="C35" s="68"/>
      <c r="D35" s="68"/>
      <c r="E35" s="68"/>
      <c r="F35" s="68"/>
      <c r="G35" s="68"/>
      <c r="H35" s="68"/>
      <c r="I35" s="146"/>
      <c r="J35" s="146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customFormat="false" ht="15.75" hidden="false" customHeight="false" outlineLevel="0" collapsed="false">
      <c r="A36" s="68"/>
      <c r="B36" s="15" t="s">
        <v>71</v>
      </c>
      <c r="C36" s="15"/>
      <c r="D36" s="15"/>
      <c r="E36" s="15"/>
      <c r="F36" s="15"/>
      <c r="G36" s="15"/>
      <c r="H36" s="15"/>
      <c r="I36" s="15"/>
      <c r="J36" s="133"/>
      <c r="K36" s="133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</row>
    <row r="37" customFormat="false" ht="15.75" hidden="false" customHeight="false" outlineLevel="0" collapsed="false">
      <c r="B37" s="134" t="s">
        <v>72</v>
      </c>
      <c r="C37" s="135"/>
      <c r="D37" s="135"/>
      <c r="E37" s="135"/>
      <c r="F37" s="135"/>
      <c r="G37" s="135"/>
      <c r="H37" s="135"/>
      <c r="I37" s="135"/>
      <c r="J37" s="135"/>
      <c r="K37" s="135"/>
    </row>
    <row r="38" customFormat="false" ht="15.75" hidden="false" customHeight="true" outlineLevel="0" collapsed="false">
      <c r="B38" s="7" t="s">
        <v>62</v>
      </c>
      <c r="C38" s="47" t="s">
        <v>73</v>
      </c>
      <c r="D38" s="126" t="s">
        <v>74</v>
      </c>
      <c r="E38" s="126" t="n">
        <v>1</v>
      </c>
      <c r="F38" s="127" t="s">
        <v>14</v>
      </c>
      <c r="G38" s="126" t="n">
        <v>1</v>
      </c>
      <c r="H38" s="126" t="s">
        <v>15</v>
      </c>
      <c r="I38" s="128" t="n">
        <v>200000</v>
      </c>
      <c r="J38" s="128" t="n">
        <f aca="false">E38*G38*I38</f>
        <v>200000</v>
      </c>
      <c r="K38" s="138" t="s">
        <v>75</v>
      </c>
    </row>
    <row r="39" customFormat="false" ht="15.75" hidden="false" customHeight="false" outlineLevel="0" collapsed="false">
      <c r="B39" s="7"/>
      <c r="C39" s="7"/>
      <c r="D39" s="147" t="s">
        <v>270</v>
      </c>
      <c r="E39" s="126" t="n">
        <v>1</v>
      </c>
      <c r="F39" s="127" t="s">
        <v>14</v>
      </c>
      <c r="G39" s="126" t="n">
        <v>1</v>
      </c>
      <c r="H39" s="126" t="s">
        <v>15</v>
      </c>
      <c r="I39" s="128" t="n">
        <v>250000</v>
      </c>
      <c r="J39" s="128" t="n">
        <f aca="false">E39*G39*I39</f>
        <v>250000</v>
      </c>
      <c r="K39" s="138" t="s">
        <v>271</v>
      </c>
    </row>
    <row r="40" customFormat="false" ht="15.75" hidden="false" customHeight="false" outlineLevel="0" collapsed="false">
      <c r="B40" s="7"/>
      <c r="C40" s="7"/>
      <c r="D40" s="147" t="s">
        <v>78</v>
      </c>
      <c r="E40" s="126" t="n">
        <v>1</v>
      </c>
      <c r="F40" s="127" t="s">
        <v>14</v>
      </c>
      <c r="G40" s="126" t="n">
        <v>1</v>
      </c>
      <c r="H40" s="126" t="s">
        <v>15</v>
      </c>
      <c r="I40" s="128" t="n">
        <v>250000</v>
      </c>
      <c r="J40" s="128" t="n">
        <f aca="false">E40*G40*I40</f>
        <v>250000</v>
      </c>
      <c r="K40" s="138" t="s">
        <v>272</v>
      </c>
    </row>
    <row r="41" customFormat="false" ht="15.75" hidden="false" customHeight="false" outlineLevel="0" collapsed="false">
      <c r="B41" s="7"/>
      <c r="C41" s="47"/>
      <c r="D41" s="147" t="s">
        <v>80</v>
      </c>
      <c r="E41" s="126" t="n">
        <v>1</v>
      </c>
      <c r="F41" s="127" t="s">
        <v>14</v>
      </c>
      <c r="G41" s="126" t="n">
        <v>1</v>
      </c>
      <c r="H41" s="126" t="s">
        <v>15</v>
      </c>
      <c r="I41" s="148" t="s">
        <v>81</v>
      </c>
      <c r="J41" s="148" t="s">
        <v>81</v>
      </c>
      <c r="K41" s="149" t="s">
        <v>82</v>
      </c>
    </row>
    <row r="42" customFormat="false" ht="15.75" hidden="false" customHeight="false" outlineLevel="0" collapsed="false">
      <c r="B42" s="7"/>
      <c r="C42" s="35" t="s">
        <v>66</v>
      </c>
      <c r="D42" s="126" t="s">
        <v>83</v>
      </c>
      <c r="E42" s="126" t="n">
        <v>1</v>
      </c>
      <c r="F42" s="127" t="s">
        <v>14</v>
      </c>
      <c r="G42" s="126" t="n">
        <v>1</v>
      </c>
      <c r="H42" s="126" t="s">
        <v>15</v>
      </c>
      <c r="I42" s="128" t="n">
        <v>100000</v>
      </c>
      <c r="J42" s="128" t="n">
        <f aca="false">E42*G42*I42</f>
        <v>100000</v>
      </c>
      <c r="K42" s="150"/>
    </row>
    <row r="43" customFormat="false" ht="15.75" hidden="false" customHeight="false" outlineLevel="0" collapsed="false">
      <c r="B43" s="7"/>
      <c r="C43" s="7"/>
      <c r="D43" s="126" t="s">
        <v>85</v>
      </c>
      <c r="E43" s="126" t="n">
        <v>1</v>
      </c>
      <c r="F43" s="127" t="s">
        <v>14</v>
      </c>
      <c r="G43" s="126" t="n">
        <v>1</v>
      </c>
      <c r="H43" s="126" t="s">
        <v>15</v>
      </c>
      <c r="I43" s="128" t="n">
        <v>100000</v>
      </c>
      <c r="J43" s="128" t="n">
        <f aca="false">E43*G43*I43</f>
        <v>100000</v>
      </c>
      <c r="K43" s="151" t="s">
        <v>273</v>
      </c>
    </row>
    <row r="44" customFormat="false" ht="15.75" hidden="false" customHeight="false" outlineLevel="0" collapsed="false">
      <c r="B44" s="7"/>
      <c r="C44" s="7"/>
      <c r="D44" s="126" t="s">
        <v>89</v>
      </c>
      <c r="E44" s="126" t="n">
        <v>1</v>
      </c>
      <c r="F44" s="127" t="s">
        <v>14</v>
      </c>
      <c r="G44" s="126" t="n">
        <v>1</v>
      </c>
      <c r="H44" s="126" t="s">
        <v>15</v>
      </c>
      <c r="I44" s="128" t="n">
        <v>800000</v>
      </c>
      <c r="J44" s="128" t="n">
        <f aca="false">E44*G44*I44</f>
        <v>800000</v>
      </c>
      <c r="K44" s="151" t="s">
        <v>90</v>
      </c>
    </row>
    <row r="45" customFormat="false" ht="15.75" hidden="false" customHeight="false" outlineLevel="0" collapsed="false">
      <c r="B45" s="7"/>
      <c r="C45" s="7"/>
      <c r="D45" s="126" t="s">
        <v>91</v>
      </c>
      <c r="E45" s="126" t="n">
        <v>1</v>
      </c>
      <c r="F45" s="127" t="s">
        <v>14</v>
      </c>
      <c r="G45" s="126" t="n">
        <v>1</v>
      </c>
      <c r="H45" s="126" t="s">
        <v>15</v>
      </c>
      <c r="I45" s="128" t="n">
        <v>200000</v>
      </c>
      <c r="J45" s="128" t="n">
        <f aca="false">E45*G45*I45</f>
        <v>200000</v>
      </c>
      <c r="K45" s="33" t="s">
        <v>92</v>
      </c>
    </row>
  </sheetData>
  <mergeCells count="22">
    <mergeCell ref="B5:B6"/>
    <mergeCell ref="C5:C6"/>
    <mergeCell ref="B7:I7"/>
    <mergeCell ref="B9:I9"/>
    <mergeCell ref="B12:B26"/>
    <mergeCell ref="C12:C16"/>
    <mergeCell ref="C17:I17"/>
    <mergeCell ref="C18:C21"/>
    <mergeCell ref="C22:I22"/>
    <mergeCell ref="C23:C25"/>
    <mergeCell ref="C26:I26"/>
    <mergeCell ref="B27:B32"/>
    <mergeCell ref="C27:C28"/>
    <mergeCell ref="C29:I29"/>
    <mergeCell ref="C30:C31"/>
    <mergeCell ref="C32:I32"/>
    <mergeCell ref="B33:I33"/>
    <mergeCell ref="B34:I34"/>
    <mergeCell ref="B36:I36"/>
    <mergeCell ref="B38:B45"/>
    <mergeCell ref="C38:C41"/>
    <mergeCell ref="C42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5"/>
    <col collapsed="false" customWidth="true" hidden="false" outlineLevel="0" max="3" min="3" style="0" width="19.51"/>
    <col collapsed="false" customWidth="true" hidden="false" outlineLevel="0" max="4" min="4" style="0" width="8.88"/>
    <col collapsed="false" customWidth="true" hidden="false" outlineLevel="0" max="5" min="5" style="0" width="19.25"/>
    <col collapsed="false" customWidth="true" hidden="false" outlineLevel="0" max="6" min="6" style="0" width="10.75"/>
    <col collapsed="false" customWidth="true" hidden="false" outlineLevel="0" max="7" min="7" style="0" width="29.75"/>
    <col collapsed="false" customWidth="true" hidden="false" outlineLevel="0" max="8" min="8" style="0" width="8.38"/>
    <col collapsed="false" customWidth="true" hidden="false" outlineLevel="0" max="9" min="9" style="0" width="33.38"/>
    <col collapsed="false" customWidth="true" hidden="false" outlineLevel="0" max="10" min="10" style="0" width="15.13"/>
    <col collapsed="false" customWidth="true" hidden="false" outlineLevel="0" max="11" min="11" style="0" width="7.63"/>
    <col collapsed="false" customWidth="true" hidden="false" outlineLevel="0" max="12" min="12" style="0" width="16.38"/>
  </cols>
  <sheetData>
    <row r="1" customFormat="false" ht="15.75" hidden="false" customHeight="false" outlineLevel="0" collapsed="false">
      <c r="F1" s="118"/>
    </row>
    <row r="2" customFormat="false" ht="24.75" hidden="false" customHeight="true" outlineLevel="0" collapsed="false">
      <c r="B2" s="152" t="s">
        <v>274</v>
      </c>
      <c r="F2" s="118"/>
    </row>
    <row r="3" customFormat="false" ht="15.75" hidden="false" customHeight="true" outlineLevel="0" collapsed="false">
      <c r="B3" s="153" t="s">
        <v>275</v>
      </c>
      <c r="C3" s="154" t="s">
        <v>276</v>
      </c>
      <c r="D3" s="154"/>
      <c r="E3" s="154"/>
      <c r="F3" s="154" t="s">
        <v>277</v>
      </c>
      <c r="G3" s="154"/>
      <c r="H3" s="154"/>
      <c r="I3" s="154"/>
      <c r="J3" s="155" t="s">
        <v>278</v>
      </c>
      <c r="K3" s="155"/>
      <c r="L3" s="155"/>
    </row>
    <row r="4" customFormat="false" ht="32.8" hidden="false" customHeight="true" outlineLevel="0" collapsed="false">
      <c r="B4" s="153"/>
      <c r="C4" s="156" t="s">
        <v>279</v>
      </c>
      <c r="D4" s="156"/>
      <c r="E4" s="156"/>
      <c r="F4" s="156" t="s">
        <v>280</v>
      </c>
      <c r="G4" s="156"/>
      <c r="H4" s="156"/>
      <c r="I4" s="156"/>
      <c r="J4" s="157" t="s">
        <v>281</v>
      </c>
      <c r="K4" s="157"/>
      <c r="L4" s="157"/>
    </row>
    <row r="5" customFormat="false" ht="15.75" hidden="false" customHeight="false" outlineLevel="0" collapsed="false">
      <c r="B5" s="153"/>
      <c r="C5" s="158" t="s">
        <v>282</v>
      </c>
      <c r="D5" s="159" t="s">
        <v>283</v>
      </c>
      <c r="E5" s="159" t="s">
        <v>10</v>
      </c>
      <c r="F5" s="159" t="s">
        <v>284</v>
      </c>
      <c r="G5" s="159" t="s">
        <v>285</v>
      </c>
      <c r="H5" s="159" t="s">
        <v>283</v>
      </c>
      <c r="I5" s="159" t="s">
        <v>10</v>
      </c>
      <c r="J5" s="159" t="s">
        <v>282</v>
      </c>
      <c r="K5" s="159" t="s">
        <v>283</v>
      </c>
      <c r="L5" s="160" t="s">
        <v>10</v>
      </c>
    </row>
    <row r="6" customFormat="false" ht="85.05" hidden="false" customHeight="true" outlineLevel="0" collapsed="false">
      <c r="B6" s="161" t="s">
        <v>286</v>
      </c>
      <c r="C6" s="162" t="s">
        <v>287</v>
      </c>
      <c r="D6" s="163" t="n">
        <v>120000</v>
      </c>
      <c r="E6" s="162" t="s">
        <v>288</v>
      </c>
      <c r="F6" s="162" t="s">
        <v>289</v>
      </c>
      <c r="G6" s="162" t="s">
        <v>290</v>
      </c>
      <c r="H6" s="163" t="n">
        <v>480000</v>
      </c>
      <c r="I6" s="162" t="s">
        <v>291</v>
      </c>
      <c r="J6" s="164" t="s">
        <v>292</v>
      </c>
      <c r="K6" s="165" t="n">
        <v>300000</v>
      </c>
      <c r="L6" s="166" t="s">
        <v>293</v>
      </c>
    </row>
    <row r="7" customFormat="false" ht="53.7" hidden="false" customHeight="false" outlineLevel="0" collapsed="false">
      <c r="B7" s="167" t="s">
        <v>294</v>
      </c>
      <c r="C7" s="164" t="s">
        <v>295</v>
      </c>
      <c r="D7" s="168" t="n">
        <v>80000</v>
      </c>
      <c r="E7" s="164" t="s">
        <v>296</v>
      </c>
      <c r="F7" s="169" t="s">
        <v>297</v>
      </c>
      <c r="G7" s="164" t="s">
        <v>298</v>
      </c>
      <c r="H7" s="168" t="n">
        <v>100000</v>
      </c>
      <c r="I7" s="164" t="s">
        <v>299</v>
      </c>
      <c r="J7" s="164"/>
      <c r="K7" s="164"/>
      <c r="L7" s="166"/>
    </row>
    <row r="8" customFormat="false" ht="15.75" hidden="false" customHeight="false" outlineLevel="0" collapsed="false">
      <c r="J8" s="162"/>
      <c r="K8" s="170"/>
      <c r="L8" s="162"/>
    </row>
    <row r="9" customFormat="false" ht="24.75" hidden="false" customHeight="true" outlineLevel="0" collapsed="false">
      <c r="B9" s="152" t="s">
        <v>300</v>
      </c>
      <c r="F9" s="118"/>
    </row>
    <row r="10" customFormat="false" ht="15.75" hidden="false" customHeight="false" outlineLevel="0" collapsed="false">
      <c r="B10" s="171" t="s">
        <v>97</v>
      </c>
      <c r="C10" s="172" t="s">
        <v>9</v>
      </c>
      <c r="D10" s="173" t="s">
        <v>10</v>
      </c>
      <c r="E10" s="173"/>
      <c r="F10" s="173"/>
      <c r="G10" s="173"/>
    </row>
    <row r="11" customFormat="false" ht="15.75" hidden="false" customHeight="false" outlineLevel="0" collapsed="false">
      <c r="B11" s="174" t="s">
        <v>301</v>
      </c>
      <c r="C11" s="175" t="n">
        <v>1000000</v>
      </c>
      <c r="D11" s="176" t="s">
        <v>302</v>
      </c>
      <c r="E11" s="176"/>
      <c r="F11" s="176"/>
      <c r="G11" s="176"/>
    </row>
    <row r="12" customFormat="false" ht="15.75" hidden="false" customHeight="false" outlineLevel="0" collapsed="false">
      <c r="B12" s="174" t="s">
        <v>303</v>
      </c>
      <c r="C12" s="175" t="n">
        <v>2000000</v>
      </c>
      <c r="D12" s="176" t="s">
        <v>304</v>
      </c>
      <c r="E12" s="176"/>
      <c r="F12" s="176"/>
      <c r="G12" s="176"/>
    </row>
    <row r="13" customFormat="false" ht="15.75" hidden="false" customHeight="false" outlineLevel="0" collapsed="false">
      <c r="B13" s="174" t="s">
        <v>152</v>
      </c>
      <c r="C13" s="177" t="n">
        <v>1000000</v>
      </c>
      <c r="D13" s="178" t="s">
        <v>305</v>
      </c>
      <c r="E13" s="178"/>
      <c r="F13" s="178"/>
      <c r="G13" s="178"/>
    </row>
    <row r="14" customFormat="false" ht="15.75" hidden="false" customHeight="false" outlineLevel="0" collapsed="false">
      <c r="B14" s="179" t="s">
        <v>306</v>
      </c>
      <c r="C14" s="180" t="n">
        <f aca="false">C11+C12-C13</f>
        <v>2000000</v>
      </c>
      <c r="D14" s="181"/>
      <c r="E14" s="182"/>
      <c r="F14" s="182"/>
      <c r="G14" s="183"/>
    </row>
    <row r="16" customFormat="false" ht="24.75" hidden="false" customHeight="true" outlineLevel="0" collapsed="false">
      <c r="B16" s="152" t="s">
        <v>307</v>
      </c>
      <c r="F16" s="118"/>
    </row>
    <row r="17" customFormat="false" ht="15.75" hidden="false" customHeight="false" outlineLevel="0" collapsed="false">
      <c r="B17" s="184" t="s">
        <v>97</v>
      </c>
      <c r="C17" s="184" t="s">
        <v>9</v>
      </c>
      <c r="D17" s="184" t="s">
        <v>10</v>
      </c>
      <c r="E17" s="184"/>
      <c r="F17" s="184"/>
      <c r="G17" s="184"/>
    </row>
    <row r="18" customFormat="false" ht="106.5" hidden="false" customHeight="true" outlineLevel="0" collapsed="false">
      <c r="B18" s="185" t="s">
        <v>308</v>
      </c>
      <c r="C18" s="186" t="s">
        <v>309</v>
      </c>
      <c r="D18" s="185" t="s">
        <v>310</v>
      </c>
      <c r="E18" s="185"/>
      <c r="F18" s="185"/>
      <c r="G18" s="185"/>
    </row>
    <row r="19" customFormat="false" ht="15.75" hidden="false" customHeight="false" outlineLevel="0" collapsed="false">
      <c r="B19" s="185" t="s">
        <v>311</v>
      </c>
      <c r="C19" s="186" t="s">
        <v>312</v>
      </c>
      <c r="D19" s="185" t="s">
        <v>313</v>
      </c>
      <c r="E19" s="185"/>
      <c r="F19" s="185"/>
      <c r="G19" s="185"/>
    </row>
  </sheetData>
  <mergeCells count="17">
    <mergeCell ref="B3:B5"/>
    <mergeCell ref="C3:E3"/>
    <mergeCell ref="F3:I3"/>
    <mergeCell ref="J3:L3"/>
    <mergeCell ref="C4:E4"/>
    <mergeCell ref="F4:I4"/>
    <mergeCell ref="J4:L4"/>
    <mergeCell ref="J6:J7"/>
    <mergeCell ref="K6:K7"/>
    <mergeCell ref="L6:L7"/>
    <mergeCell ref="D10:G10"/>
    <mergeCell ref="D11:G11"/>
    <mergeCell ref="D12:G12"/>
    <mergeCell ref="D13:G13"/>
    <mergeCell ref="D17:G17"/>
    <mergeCell ref="D18:G18"/>
    <mergeCell ref="D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4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4.88"/>
    <col collapsed="false" customWidth="true" hidden="false" outlineLevel="0" max="3" min="3" style="0" width="32.13"/>
    <col collapsed="false" customWidth="true" hidden="false" outlineLevel="0" max="5" min="5" style="0" width="6"/>
    <col collapsed="false" customWidth="true" hidden="false" outlineLevel="0" max="6" min="6" style="0" width="5.38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238</v>
      </c>
      <c r="C5" s="107" t="s">
        <v>188</v>
      </c>
      <c r="D5" s="1" t="s">
        <v>81</v>
      </c>
      <c r="E5" s="1" t="s">
        <v>81</v>
      </c>
      <c r="F5" s="46"/>
      <c r="G5" s="46" t="n">
        <v>2000000</v>
      </c>
      <c r="H5" s="108" t="s">
        <v>239</v>
      </c>
    </row>
    <row r="6" customFormat="false" ht="22.5" hidden="false" customHeight="true" outlineLevel="0" collapsed="false">
      <c r="B6" s="123"/>
      <c r="C6" s="109" t="s">
        <v>178</v>
      </c>
      <c r="D6" s="97"/>
      <c r="E6" s="97"/>
      <c r="F6" s="98"/>
      <c r="G6" s="98" t="n">
        <v>2000000</v>
      </c>
      <c r="H6" s="97" t="s">
        <v>190</v>
      </c>
    </row>
    <row r="7" customFormat="false" ht="22.5" hidden="false" customHeight="true" outlineLevel="0" collapsed="false">
      <c r="B7" s="99" t="s">
        <v>240</v>
      </c>
      <c r="C7" s="107" t="s">
        <v>314</v>
      </c>
      <c r="D7" s="117" t="n">
        <v>480000</v>
      </c>
      <c r="E7" s="107" t="n">
        <v>5</v>
      </c>
      <c r="F7" s="117" t="s">
        <v>315</v>
      </c>
      <c r="G7" s="92" t="n">
        <f aca="false">D7*E7</f>
        <v>2400000</v>
      </c>
      <c r="H7" s="108" t="s">
        <v>316</v>
      </c>
    </row>
    <row r="8" customFormat="false" ht="22.5" hidden="false" customHeight="true" outlineLevel="0" collapsed="false">
      <c r="B8" s="91"/>
      <c r="C8" s="116" t="s">
        <v>198</v>
      </c>
      <c r="D8" s="117" t="n">
        <f aca="false">D9+D10</f>
        <v>330000</v>
      </c>
      <c r="E8" s="107" t="n">
        <v>13</v>
      </c>
      <c r="F8" s="117" t="s">
        <v>181</v>
      </c>
      <c r="G8" s="92" t="n">
        <f aca="false">D8*E8</f>
        <v>4290000</v>
      </c>
      <c r="H8" s="108" t="s">
        <v>242</v>
      </c>
    </row>
    <row r="9" customFormat="false" ht="22.5" hidden="false" customHeight="true" outlineLevel="0" collapsed="false">
      <c r="B9" s="91"/>
      <c r="C9" s="110" t="s">
        <v>199</v>
      </c>
      <c r="D9" s="46" t="n">
        <v>120000</v>
      </c>
      <c r="E9" s="1" t="n">
        <v>13</v>
      </c>
      <c r="F9" s="111" t="s">
        <v>181</v>
      </c>
      <c r="G9" s="46" t="n">
        <f aca="false">D9*E9</f>
        <v>1560000</v>
      </c>
      <c r="H9" s="1"/>
    </row>
    <row r="10" customFormat="false" ht="22.5" hidden="false" customHeight="true" outlineLevel="0" collapsed="false">
      <c r="B10" s="91"/>
      <c r="C10" s="110" t="s">
        <v>201</v>
      </c>
      <c r="D10" s="46" t="n">
        <f aca="false">300000*0.7</f>
        <v>210000</v>
      </c>
      <c r="E10" s="1" t="n">
        <v>13</v>
      </c>
      <c r="F10" s="111" t="s">
        <v>181</v>
      </c>
      <c r="G10" s="46" t="n">
        <f aca="false">D10*E10</f>
        <v>2730000</v>
      </c>
      <c r="H10" s="1" t="s">
        <v>234</v>
      </c>
    </row>
    <row r="11" customFormat="false" ht="22.5" hidden="false" customHeight="true" outlineLevel="0" collapsed="false">
      <c r="B11" s="96"/>
      <c r="C11" s="109" t="s">
        <v>178</v>
      </c>
      <c r="D11" s="97"/>
      <c r="E11" s="97"/>
      <c r="F11" s="98"/>
      <c r="G11" s="98" t="n">
        <f aca="false">G7+G8</f>
        <v>6690000</v>
      </c>
      <c r="H11" s="97" t="s">
        <v>190</v>
      </c>
    </row>
    <row r="12" customFormat="false" ht="22.5" hidden="false" customHeight="true" outlineLevel="0" collapsed="false">
      <c r="B12" s="113" t="s">
        <v>184</v>
      </c>
      <c r="C12" s="107" t="s">
        <v>243</v>
      </c>
      <c r="D12" s="107"/>
      <c r="E12" s="107"/>
      <c r="F12" s="117"/>
      <c r="G12" s="92" t="n">
        <f aca="false">G6+G11</f>
        <v>8690000</v>
      </c>
      <c r="H12" s="1" t="s">
        <v>190</v>
      </c>
    </row>
    <row r="15" customFormat="false" ht="92.25" hidden="false" customHeight="true" outlineLevel="0" collapsed="false">
      <c r="B15" s="187" t="s">
        <v>317</v>
      </c>
    </row>
    <row r="16" customFormat="false" ht="15.75" hidden="false" customHeight="false" outlineLevel="0" collapsed="false">
      <c r="B16" s="63"/>
      <c r="C16" s="63"/>
      <c r="D16" s="63"/>
      <c r="E16" s="63"/>
      <c r="F16" s="63"/>
      <c r="G16" s="63"/>
      <c r="H16" s="63"/>
    </row>
    <row r="17" customFormat="false" ht="15.75" hidden="false" customHeight="false" outlineLevel="0" collapsed="false">
      <c r="B17" s="118"/>
      <c r="F17" s="188"/>
      <c r="G17" s="188"/>
    </row>
    <row r="18" customFormat="false" ht="15.75" hidden="false" customHeight="false" outlineLevel="0" collapsed="false">
      <c r="B18" s="118"/>
      <c r="E18" s="189"/>
      <c r="F18" s="188"/>
      <c r="G18" s="188"/>
    </row>
    <row r="19" customFormat="false" ht="15.75" hidden="false" customHeight="false" outlineLevel="0" collapsed="false">
      <c r="B19" s="118"/>
      <c r="C19" s="188"/>
    </row>
    <row r="20" customFormat="false" ht="15.75" hidden="false" customHeight="false" outlineLevel="0" collapsed="false">
      <c r="B20" s="118"/>
      <c r="C20" s="190"/>
    </row>
  </sheetData>
  <dataValidations count="1">
    <dataValidation allowBlank="true" errorStyle="stop" operator="between" showDropDown="true" showErrorMessage="false" showInputMessage="false" sqref="G5:G12" type="custom">
      <formula1>AND(ISNUMBER(G5),(NOT(OR(NOT(ISERROR(DATEVALUE(G5))), AND(ISNUMBER(G5), LEFT(CELL("format", G5))="D")))))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4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14.88"/>
    <col collapsed="false" customWidth="true" hidden="false" outlineLevel="0" max="3" min="3" style="0" width="33.63"/>
    <col collapsed="false" customWidth="true" hidden="false" outlineLevel="0" max="5" min="5" style="0" width="8.38"/>
    <col collapsed="false" customWidth="true" hidden="false" outlineLevel="0" max="6" min="6" style="0" width="3.75"/>
    <col collapsed="false" customWidth="true" hidden="false" outlineLevel="0" max="7" min="7" style="0" width="15.75"/>
    <col collapsed="false" customWidth="true" hidden="false" outlineLevel="0" max="8" min="8" style="0" width="78.38"/>
  </cols>
  <sheetData>
    <row r="4" customFormat="false" ht="22.5" hidden="false" customHeight="true" outlineLevel="0" collapsed="false">
      <c r="B4" s="105" t="s">
        <v>2</v>
      </c>
      <c r="C4" s="105" t="s">
        <v>97</v>
      </c>
      <c r="D4" s="105" t="s">
        <v>8</v>
      </c>
      <c r="E4" s="105" t="s">
        <v>5</v>
      </c>
      <c r="F4" s="106" t="s">
        <v>81</v>
      </c>
      <c r="G4" s="105" t="s">
        <v>186</v>
      </c>
      <c r="H4" s="105" t="s">
        <v>10</v>
      </c>
    </row>
    <row r="5" customFormat="false" ht="22.5" hidden="false" customHeight="true" outlineLevel="0" collapsed="false">
      <c r="B5" s="99" t="s">
        <v>238</v>
      </c>
      <c r="C5" s="107" t="s">
        <v>188</v>
      </c>
      <c r="D5" s="1" t="s">
        <v>81</v>
      </c>
      <c r="E5" s="1" t="s">
        <v>81</v>
      </c>
      <c r="F5" s="46"/>
      <c r="G5" s="46" t="n">
        <v>2000000</v>
      </c>
      <c r="H5" s="120" t="s">
        <v>239</v>
      </c>
    </row>
    <row r="6" customFormat="false" ht="22.5" hidden="false" customHeight="true" outlineLevel="0" collapsed="false">
      <c r="B6" s="123"/>
      <c r="C6" s="109" t="s">
        <v>178</v>
      </c>
      <c r="D6" s="97"/>
      <c r="E6" s="97"/>
      <c r="F6" s="98"/>
      <c r="G6" s="98" t="n">
        <v>2000000</v>
      </c>
      <c r="H6" s="97" t="s">
        <v>190</v>
      </c>
    </row>
    <row r="7" customFormat="false" ht="22.5" hidden="false" customHeight="true" outlineLevel="0" collapsed="false">
      <c r="B7" s="99" t="s">
        <v>240</v>
      </c>
      <c r="C7" s="107" t="s">
        <v>196</v>
      </c>
      <c r="D7" s="117" t="n">
        <v>480000</v>
      </c>
      <c r="E7" s="114" t="n">
        <v>9</v>
      </c>
      <c r="F7" s="115" t="s">
        <v>15</v>
      </c>
      <c r="G7" s="92" t="n">
        <f aca="false">D7*E7</f>
        <v>4320000</v>
      </c>
      <c r="H7" s="108" t="s">
        <v>241</v>
      </c>
    </row>
    <row r="8" customFormat="false" ht="22.5" hidden="false" customHeight="true" outlineLevel="0" collapsed="false">
      <c r="B8" s="91"/>
      <c r="C8" s="116" t="s">
        <v>198</v>
      </c>
      <c r="D8" s="117" t="n">
        <f aca="false">D9+D10</f>
        <v>330000</v>
      </c>
      <c r="E8" s="107" t="n">
        <v>13</v>
      </c>
      <c r="F8" s="117" t="s">
        <v>181</v>
      </c>
      <c r="G8" s="92" t="n">
        <f aca="false">D8*E8</f>
        <v>4290000</v>
      </c>
      <c r="H8" s="108" t="s">
        <v>242</v>
      </c>
    </row>
    <row r="9" customFormat="false" ht="22.5" hidden="false" customHeight="true" outlineLevel="0" collapsed="false">
      <c r="B9" s="91"/>
      <c r="C9" s="110" t="s">
        <v>199</v>
      </c>
      <c r="D9" s="46" t="n">
        <v>120000</v>
      </c>
      <c r="E9" s="1" t="n">
        <v>13</v>
      </c>
      <c r="F9" s="111" t="s">
        <v>181</v>
      </c>
      <c r="G9" s="46" t="n">
        <f aca="false">D9*E9</f>
        <v>1560000</v>
      </c>
      <c r="H9" s="1"/>
    </row>
    <row r="10" customFormat="false" ht="22.5" hidden="false" customHeight="true" outlineLevel="0" collapsed="false">
      <c r="B10" s="91"/>
      <c r="C10" s="110" t="s">
        <v>201</v>
      </c>
      <c r="D10" s="46" t="n">
        <f aca="false">300000*0.7</f>
        <v>210000</v>
      </c>
      <c r="E10" s="1" t="n">
        <v>13</v>
      </c>
      <c r="F10" s="111" t="s">
        <v>181</v>
      </c>
      <c r="G10" s="46" t="n">
        <f aca="false">D10*E10</f>
        <v>2730000</v>
      </c>
      <c r="H10" s="1" t="s">
        <v>234</v>
      </c>
    </row>
    <row r="11" customFormat="false" ht="22.5" hidden="false" customHeight="true" outlineLevel="0" collapsed="false">
      <c r="B11" s="91"/>
      <c r="C11" s="102" t="s">
        <v>183</v>
      </c>
      <c r="D11" s="93"/>
      <c r="E11" s="93"/>
      <c r="F11" s="94"/>
      <c r="G11" s="94" t="n">
        <v>85800</v>
      </c>
      <c r="H11" s="112" t="s">
        <v>235</v>
      </c>
    </row>
    <row r="12" customFormat="false" ht="22.5" hidden="false" customHeight="true" outlineLevel="0" collapsed="false">
      <c r="B12" s="96"/>
      <c r="C12" s="109" t="s">
        <v>178</v>
      </c>
      <c r="D12" s="97"/>
      <c r="E12" s="97"/>
      <c r="F12" s="98"/>
      <c r="G12" s="98" t="n">
        <f aca="false">G7+G8+G11</f>
        <v>8695800</v>
      </c>
      <c r="H12" s="97" t="s">
        <v>190</v>
      </c>
    </row>
    <row r="13" customFormat="false" ht="22.5" hidden="false" customHeight="true" outlineLevel="0" collapsed="false">
      <c r="B13" s="113" t="s">
        <v>184</v>
      </c>
      <c r="C13" s="107" t="s">
        <v>243</v>
      </c>
      <c r="D13" s="107"/>
      <c r="E13" s="107"/>
      <c r="F13" s="117"/>
      <c r="G13" s="92" t="n">
        <f aca="false">G6+G12</f>
        <v>10695800</v>
      </c>
      <c r="H13" s="1" t="s">
        <v>190</v>
      </c>
    </row>
    <row r="15" customFormat="false" ht="15.75" hidden="false" customHeight="false" outlineLevel="0" collapsed="false">
      <c r="B15" s="103" t="s">
        <v>318</v>
      </c>
    </row>
    <row r="16" customFormat="false" ht="15.75" hidden="false" customHeight="false" outlineLevel="0" collapsed="false">
      <c r="B16" s="118" t="s">
        <v>319</v>
      </c>
    </row>
    <row r="17" customFormat="false" ht="20.25" hidden="false" customHeight="true" outlineLevel="0" collapsed="false">
      <c r="B17" s="118" t="s">
        <v>320</v>
      </c>
    </row>
    <row r="18" customFormat="false" ht="20.25" hidden="false" customHeight="true" outlineLevel="0" collapsed="false"/>
    <row r="19" customFormat="false" ht="20.25" hidden="false" customHeight="true" outlineLevel="0" collapsed="false">
      <c r="B19" s="187"/>
    </row>
    <row r="20" customFormat="false" ht="15.75" hidden="false" customHeight="false" outlineLevel="0" collapsed="false">
      <c r="B20" s="63"/>
      <c r="C20" s="63"/>
      <c r="D20" s="63"/>
      <c r="E20" s="63"/>
      <c r="F20" s="63"/>
      <c r="G20" s="63"/>
      <c r="H20" s="63"/>
    </row>
    <row r="21" customFormat="false" ht="22.5" hidden="false" customHeight="true" outlineLevel="0" collapsed="false">
      <c r="B21" s="105" t="s">
        <v>2</v>
      </c>
      <c r="C21" s="105" t="s">
        <v>97</v>
      </c>
      <c r="D21" s="105" t="s">
        <v>8</v>
      </c>
      <c r="E21" s="105" t="s">
        <v>5</v>
      </c>
      <c r="F21" s="106" t="s">
        <v>81</v>
      </c>
      <c r="G21" s="105" t="s">
        <v>186</v>
      </c>
      <c r="H21" s="105" t="s">
        <v>10</v>
      </c>
    </row>
    <row r="22" customFormat="false" ht="22.5" hidden="false" customHeight="true" outlineLevel="0" collapsed="false">
      <c r="B22" s="99" t="s">
        <v>238</v>
      </c>
      <c r="C22" s="107" t="s">
        <v>188</v>
      </c>
      <c r="D22" s="1" t="s">
        <v>81</v>
      </c>
      <c r="E22" s="1" t="s">
        <v>81</v>
      </c>
      <c r="F22" s="46"/>
      <c r="G22" s="46" t="n">
        <v>2000000</v>
      </c>
      <c r="H22" s="108" t="s">
        <v>239</v>
      </c>
    </row>
    <row r="23" customFormat="false" ht="22.5" hidden="false" customHeight="true" outlineLevel="0" collapsed="false">
      <c r="B23" s="123"/>
      <c r="C23" s="109" t="s">
        <v>178</v>
      </c>
      <c r="D23" s="97"/>
      <c r="E23" s="97"/>
      <c r="F23" s="98"/>
      <c r="G23" s="98" t="n">
        <v>2000000</v>
      </c>
      <c r="H23" s="97" t="s">
        <v>190</v>
      </c>
    </row>
    <row r="24" customFormat="false" ht="22.5" hidden="false" customHeight="true" outlineLevel="0" collapsed="false">
      <c r="B24" s="99" t="s">
        <v>240</v>
      </c>
      <c r="C24" s="107" t="s">
        <v>314</v>
      </c>
      <c r="D24" s="89" t="n">
        <v>800000</v>
      </c>
      <c r="E24" s="107" t="n">
        <v>5</v>
      </c>
      <c r="F24" s="117" t="s">
        <v>315</v>
      </c>
      <c r="G24" s="92" t="n">
        <f aca="false">D24*E24</f>
        <v>4000000</v>
      </c>
      <c r="H24" s="108" t="s">
        <v>316</v>
      </c>
    </row>
    <row r="25" customFormat="false" ht="22.5" hidden="false" customHeight="true" outlineLevel="0" collapsed="false">
      <c r="B25" s="91"/>
      <c r="C25" s="116" t="s">
        <v>198</v>
      </c>
      <c r="D25" s="117" t="n">
        <f aca="false">D26+D27</f>
        <v>330000</v>
      </c>
      <c r="E25" s="107" t="n">
        <v>13</v>
      </c>
      <c r="F25" s="117" t="s">
        <v>181</v>
      </c>
      <c r="G25" s="92" t="n">
        <f aca="false">D25*E25</f>
        <v>4290000</v>
      </c>
      <c r="H25" s="108" t="s">
        <v>242</v>
      </c>
    </row>
    <row r="26" customFormat="false" ht="22.5" hidden="false" customHeight="true" outlineLevel="0" collapsed="false">
      <c r="B26" s="91"/>
      <c r="C26" s="110" t="s">
        <v>199</v>
      </c>
      <c r="D26" s="46" t="n">
        <v>120000</v>
      </c>
      <c r="E26" s="1" t="n">
        <v>13</v>
      </c>
      <c r="F26" s="111" t="s">
        <v>181</v>
      </c>
      <c r="G26" s="46" t="n">
        <f aca="false">D26*E26</f>
        <v>1560000</v>
      </c>
      <c r="H26" s="1"/>
    </row>
    <row r="27" customFormat="false" ht="22.5" hidden="false" customHeight="true" outlineLevel="0" collapsed="false">
      <c r="B27" s="91"/>
      <c r="C27" s="110" t="s">
        <v>201</v>
      </c>
      <c r="D27" s="46" t="n">
        <f aca="false">300000*0.7</f>
        <v>210000</v>
      </c>
      <c r="E27" s="1" t="n">
        <v>13</v>
      </c>
      <c r="F27" s="111" t="s">
        <v>181</v>
      </c>
      <c r="G27" s="46" t="n">
        <f aca="false">D27*E27</f>
        <v>2730000</v>
      </c>
      <c r="H27" s="1" t="s">
        <v>234</v>
      </c>
    </row>
    <row r="28" customFormat="false" ht="22.5" hidden="false" customHeight="true" outlineLevel="0" collapsed="false">
      <c r="B28" s="96"/>
      <c r="C28" s="109" t="s">
        <v>178</v>
      </c>
      <c r="D28" s="97"/>
      <c r="E28" s="97"/>
      <c r="F28" s="98"/>
      <c r="G28" s="98" t="n">
        <f aca="false">G24+G25</f>
        <v>8290000</v>
      </c>
      <c r="H28" s="97" t="s">
        <v>190</v>
      </c>
    </row>
    <row r="29" customFormat="false" ht="22.5" hidden="false" customHeight="true" outlineLevel="0" collapsed="false">
      <c r="B29" s="113" t="s">
        <v>184</v>
      </c>
      <c r="C29" s="107" t="s">
        <v>243</v>
      </c>
      <c r="D29" s="107"/>
      <c r="E29" s="107"/>
      <c r="F29" s="117"/>
      <c r="G29" s="92" t="n">
        <f aca="false">G23+G28</f>
        <v>10290000</v>
      </c>
      <c r="H29" s="1" t="s">
        <v>190</v>
      </c>
    </row>
    <row r="31" customFormat="false" ht="15.75" hidden="false" customHeight="false" outlineLevel="0" collapsed="false">
      <c r="B31" s="103" t="s">
        <v>321</v>
      </c>
    </row>
    <row r="32" customFormat="false" ht="15.75" hidden="false" customHeight="false" outlineLevel="0" collapsed="false">
      <c r="B32" s="118" t="s">
        <v>322</v>
      </c>
    </row>
    <row r="33" customFormat="false" ht="15.75" hidden="false" customHeight="false" outlineLevel="0" collapsed="false">
      <c r="B33" s="118" t="s">
        <v>323</v>
      </c>
    </row>
    <row r="34" customFormat="false" ht="15.75" hidden="false" customHeight="false" outlineLevel="0" collapsed="false">
      <c r="B34" s="118"/>
    </row>
  </sheetData>
  <dataValidations count="1">
    <dataValidation allowBlank="true" errorStyle="stop" operator="between" showDropDown="true" showErrorMessage="false" showInputMessage="false" sqref="G5:G13 G22:G29" type="custom">
      <formula1>AND(ISNUMBER(G5),(NOT(OR(NOT(ISERROR(DATEVALUE(G5))), AND(ISNUMBER(G5), LEFT(CELL("format", G5))="D")))))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outlinePr summaryBelow="0"/>
    <pageSetUpPr fitToPage="false"/>
  </sheetPr>
  <dimension ref="A2:A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8.75"/>
    <col collapsed="false" customWidth="true" hidden="false" outlineLevel="0" max="3" min="3" style="0" width="18.25"/>
    <col collapsed="false" customWidth="true" hidden="false" outlineLevel="0" max="4" min="4" style="0" width="26.63"/>
    <col collapsed="false" customWidth="true" hidden="false" outlineLevel="0" max="8" min="5" style="0" width="7"/>
    <col collapsed="false" customWidth="true" hidden="false" outlineLevel="0" max="10" min="9" style="0" width="15.25"/>
    <col collapsed="false" customWidth="true" hidden="false" outlineLevel="0" max="11" min="11" style="0" width="62"/>
  </cols>
  <sheetData>
    <row r="2" customFormat="false" ht="15.75" hidden="false" customHeight="false" outlineLevel="0" collapsed="false">
      <c r="B2" s="124" t="s">
        <v>324</v>
      </c>
    </row>
    <row r="4" customFormat="false" ht="15.75" hidden="false" customHeight="false" outlineLevel="0" collapsed="false">
      <c r="B4" s="125" t="s">
        <v>2</v>
      </c>
      <c r="C4" s="125" t="s">
        <v>3</v>
      </c>
      <c r="D4" s="125" t="s">
        <v>4</v>
      </c>
      <c r="E4" s="125" t="s">
        <v>5</v>
      </c>
      <c r="F4" s="125" t="s">
        <v>6</v>
      </c>
      <c r="G4" s="125" t="s">
        <v>7</v>
      </c>
      <c r="H4" s="125" t="s">
        <v>6</v>
      </c>
      <c r="I4" s="125" t="s">
        <v>8</v>
      </c>
      <c r="J4" s="125" t="s">
        <v>9</v>
      </c>
      <c r="K4" s="125" t="s">
        <v>10</v>
      </c>
    </row>
    <row r="5" customFormat="false" ht="15.75" hidden="false" customHeight="false" outlineLevel="0" collapsed="false">
      <c r="B5" s="191" t="s">
        <v>325</v>
      </c>
      <c r="C5" s="192" t="s">
        <v>12</v>
      </c>
      <c r="D5" s="193" t="s">
        <v>13</v>
      </c>
      <c r="E5" s="194" t="n">
        <v>1</v>
      </c>
      <c r="F5" s="194" t="s">
        <v>14</v>
      </c>
      <c r="G5" s="194" t="n">
        <v>1</v>
      </c>
      <c r="H5" s="193" t="s">
        <v>15</v>
      </c>
      <c r="I5" s="195" t="n">
        <v>200000</v>
      </c>
      <c r="J5" s="195" t="n">
        <f aca="false">E5*G5*I5</f>
        <v>200000</v>
      </c>
      <c r="K5" s="196"/>
    </row>
    <row r="6" customFormat="false" ht="15.75" hidden="false" customHeight="false" outlineLevel="0" collapsed="false">
      <c r="B6" s="191"/>
      <c r="C6" s="192"/>
      <c r="D6" s="193" t="s">
        <v>326</v>
      </c>
      <c r="E6" s="193" t="n">
        <v>1</v>
      </c>
      <c r="F6" s="194" t="s">
        <v>14</v>
      </c>
      <c r="G6" s="193" t="n">
        <v>3</v>
      </c>
      <c r="H6" s="193" t="s">
        <v>17</v>
      </c>
      <c r="I6" s="195" t="n">
        <v>600000</v>
      </c>
      <c r="J6" s="195" t="n">
        <f aca="false">E6*G6*I6</f>
        <v>1800000</v>
      </c>
      <c r="K6" s="196" t="s">
        <v>18</v>
      </c>
    </row>
    <row r="7" customFormat="false" ht="15.75" hidden="false" customHeight="false" outlineLevel="0" collapsed="false">
      <c r="B7" s="12" t="s">
        <v>19</v>
      </c>
      <c r="C7" s="12"/>
      <c r="D7" s="12"/>
      <c r="E7" s="12"/>
      <c r="F7" s="12"/>
      <c r="G7" s="12"/>
      <c r="H7" s="12"/>
      <c r="I7" s="12"/>
      <c r="J7" s="131" t="n">
        <f aca="false">SUM(J5:J6)</f>
        <v>2000000</v>
      </c>
      <c r="K7" s="132"/>
    </row>
    <row r="9" customFormat="false" ht="15.75" hidden="false" customHeight="false" outlineLevel="0" collapsed="false">
      <c r="B9" s="15" t="s">
        <v>327</v>
      </c>
      <c r="C9" s="15"/>
      <c r="D9" s="15"/>
      <c r="E9" s="15"/>
      <c r="F9" s="15"/>
      <c r="G9" s="15"/>
      <c r="H9" s="15"/>
      <c r="I9" s="15"/>
      <c r="J9" s="133"/>
      <c r="K9" s="133"/>
    </row>
    <row r="10" customFormat="false" ht="15.75" hidden="false" customHeight="false" outlineLevel="0" collapsed="false">
      <c r="B10" s="125" t="s">
        <v>2</v>
      </c>
      <c r="C10" s="125" t="s">
        <v>3</v>
      </c>
      <c r="D10" s="125" t="s">
        <v>4</v>
      </c>
      <c r="E10" s="125" t="s">
        <v>5</v>
      </c>
      <c r="F10" s="125" t="s">
        <v>6</v>
      </c>
      <c r="G10" s="125" t="s">
        <v>7</v>
      </c>
      <c r="H10" s="125" t="s">
        <v>6</v>
      </c>
      <c r="I10" s="125" t="s">
        <v>8</v>
      </c>
      <c r="J10" s="125" t="s">
        <v>9</v>
      </c>
      <c r="K10" s="125" t="s">
        <v>10</v>
      </c>
    </row>
    <row r="11" customFormat="false" ht="15.75" hidden="false" customHeight="true" outlineLevel="0" collapsed="false">
      <c r="B11" s="136" t="s">
        <v>25</v>
      </c>
      <c r="C11" s="20" t="s">
        <v>26</v>
      </c>
      <c r="D11" s="126" t="s">
        <v>52</v>
      </c>
      <c r="E11" s="126" t="n">
        <v>1</v>
      </c>
      <c r="F11" s="127" t="s">
        <v>14</v>
      </c>
      <c r="G11" s="126" t="n">
        <v>1</v>
      </c>
      <c r="H11" s="126" t="s">
        <v>15</v>
      </c>
      <c r="I11" s="128" t="n">
        <v>200000</v>
      </c>
      <c r="J11" s="128" t="n">
        <f aca="false">E11*G11*I11</f>
        <v>200000</v>
      </c>
      <c r="K11" s="137" t="s">
        <v>30</v>
      </c>
    </row>
    <row r="12" customFormat="false" ht="15.75" hidden="false" customHeight="false" outlineLevel="0" collapsed="false">
      <c r="B12" s="136"/>
      <c r="C12" s="136"/>
      <c r="D12" s="126" t="s">
        <v>248</v>
      </c>
      <c r="E12" s="126" t="n">
        <v>1</v>
      </c>
      <c r="F12" s="127" t="s">
        <v>14</v>
      </c>
      <c r="G12" s="126" t="n">
        <v>1</v>
      </c>
      <c r="H12" s="126" t="s">
        <v>15</v>
      </c>
      <c r="I12" s="128" t="n">
        <v>300000</v>
      </c>
      <c r="J12" s="128" t="n">
        <f aca="false">E12*G12*I12</f>
        <v>300000</v>
      </c>
      <c r="K12" s="137" t="s">
        <v>32</v>
      </c>
    </row>
    <row r="13" customFormat="false" ht="15.75" hidden="false" customHeight="false" outlineLevel="0" collapsed="false">
      <c r="B13" s="136"/>
      <c r="C13" s="136"/>
      <c r="D13" s="126" t="s">
        <v>249</v>
      </c>
      <c r="E13" s="126" t="n">
        <v>1</v>
      </c>
      <c r="F13" s="127" t="s">
        <v>14</v>
      </c>
      <c r="G13" s="126" t="n">
        <v>2</v>
      </c>
      <c r="H13" s="127" t="s">
        <v>250</v>
      </c>
      <c r="I13" s="128" t="n">
        <v>300000</v>
      </c>
      <c r="J13" s="128" t="n">
        <f aca="false">E13*G13*I13</f>
        <v>600000</v>
      </c>
      <c r="K13" s="137" t="s">
        <v>251</v>
      </c>
    </row>
    <row r="14" customFormat="false" ht="15.75" hidden="false" customHeight="false" outlineLevel="0" collapsed="false">
      <c r="B14" s="136"/>
      <c r="C14" s="136"/>
      <c r="D14" s="126" t="s">
        <v>252</v>
      </c>
      <c r="E14" s="126" t="n">
        <v>1</v>
      </c>
      <c r="F14" s="127" t="s">
        <v>14</v>
      </c>
      <c r="G14" s="126" t="n">
        <v>3</v>
      </c>
      <c r="H14" s="126" t="s">
        <v>253</v>
      </c>
      <c r="I14" s="128" t="n">
        <v>100000</v>
      </c>
      <c r="J14" s="128" t="n">
        <f aca="false">E14*G14*I14</f>
        <v>300000</v>
      </c>
      <c r="K14" s="137" t="s">
        <v>254</v>
      </c>
    </row>
    <row r="15" customFormat="false" ht="15.75" hidden="false" customHeight="false" outlineLevel="0" collapsed="false">
      <c r="B15" s="136"/>
      <c r="C15" s="136"/>
      <c r="D15" s="126" t="s">
        <v>107</v>
      </c>
      <c r="E15" s="126" t="n">
        <v>1</v>
      </c>
      <c r="F15" s="127" t="s">
        <v>14</v>
      </c>
      <c r="G15" s="126" t="n">
        <v>2</v>
      </c>
      <c r="H15" s="126" t="s">
        <v>255</v>
      </c>
      <c r="I15" s="128" t="n">
        <v>400000</v>
      </c>
      <c r="J15" s="128" t="n">
        <f aca="false">E15*G15*I15</f>
        <v>800000</v>
      </c>
      <c r="K15" s="137" t="s">
        <v>256</v>
      </c>
    </row>
    <row r="16" customFormat="false" ht="15.75" hidden="false" customHeight="false" outlineLevel="0" collapsed="false">
      <c r="B16" s="136"/>
      <c r="C16" s="24" t="s">
        <v>257</v>
      </c>
      <c r="D16" s="24"/>
      <c r="E16" s="24"/>
      <c r="F16" s="24"/>
      <c r="G16" s="24"/>
      <c r="H16" s="24"/>
      <c r="I16" s="24"/>
      <c r="J16" s="131" t="n">
        <f aca="false">SUM(J11:J15)</f>
        <v>2200000</v>
      </c>
      <c r="K16" s="132"/>
    </row>
    <row r="17" customFormat="false" ht="15.75" hidden="false" customHeight="true" outlineLevel="0" collapsed="false">
      <c r="B17" s="136"/>
      <c r="C17" s="20" t="s">
        <v>48</v>
      </c>
      <c r="D17" s="126" t="s">
        <v>52</v>
      </c>
      <c r="E17" s="126" t="n">
        <v>1</v>
      </c>
      <c r="F17" s="127" t="s">
        <v>14</v>
      </c>
      <c r="G17" s="126" t="n">
        <v>1</v>
      </c>
      <c r="H17" s="126" t="s">
        <v>15</v>
      </c>
      <c r="I17" s="128" t="n">
        <v>300000</v>
      </c>
      <c r="J17" s="128" t="n">
        <f aca="false">E17*G17*I17</f>
        <v>300000</v>
      </c>
      <c r="K17" s="138" t="s">
        <v>258</v>
      </c>
    </row>
    <row r="18" customFormat="false" ht="15.75" hidden="false" customHeight="false" outlineLevel="0" collapsed="false">
      <c r="B18" s="136"/>
      <c r="C18" s="136"/>
      <c r="D18" s="126" t="s">
        <v>259</v>
      </c>
      <c r="E18" s="126" t="n">
        <v>1</v>
      </c>
      <c r="F18" s="127" t="s">
        <v>14</v>
      </c>
      <c r="G18" s="126" t="n">
        <v>2</v>
      </c>
      <c r="H18" s="126" t="s">
        <v>260</v>
      </c>
      <c r="I18" s="128" t="n">
        <v>300000</v>
      </c>
      <c r="J18" s="128" t="n">
        <f aca="false">E18*G18*I18</f>
        <v>600000</v>
      </c>
      <c r="K18" s="139" t="s">
        <v>261</v>
      </c>
    </row>
    <row r="19" customFormat="false" ht="15.75" hidden="false" customHeight="false" outlineLevel="0" collapsed="false">
      <c r="B19" s="136"/>
      <c r="C19" s="136"/>
      <c r="D19" s="126" t="s">
        <v>33</v>
      </c>
      <c r="E19" s="126" t="n">
        <v>1</v>
      </c>
      <c r="F19" s="127" t="s">
        <v>14</v>
      </c>
      <c r="G19" s="126" t="n">
        <v>2</v>
      </c>
      <c r="H19" s="127" t="s">
        <v>250</v>
      </c>
      <c r="I19" s="128" t="n">
        <v>300000</v>
      </c>
      <c r="J19" s="128" t="n">
        <f aca="false">E19*G19*I19</f>
        <v>600000</v>
      </c>
      <c r="K19" s="138"/>
    </row>
    <row r="20" customFormat="false" ht="15.75" hidden="false" customHeight="false" outlineLevel="0" collapsed="false">
      <c r="B20" s="136"/>
      <c r="C20" s="136"/>
      <c r="D20" s="126" t="s">
        <v>107</v>
      </c>
      <c r="E20" s="126" t="n">
        <v>1</v>
      </c>
      <c r="F20" s="127" t="s">
        <v>14</v>
      </c>
      <c r="G20" s="126" t="n">
        <v>3</v>
      </c>
      <c r="H20" s="126" t="s">
        <v>255</v>
      </c>
      <c r="I20" s="128" t="n">
        <v>400000</v>
      </c>
      <c r="J20" s="128" t="n">
        <f aca="false">E20*G20*I20</f>
        <v>1200000</v>
      </c>
      <c r="K20" s="138"/>
    </row>
    <row r="21" customFormat="false" ht="15.75" hidden="false" customHeight="false" outlineLevel="0" collapsed="false">
      <c r="B21" s="136"/>
      <c r="C21" s="24" t="s">
        <v>50</v>
      </c>
      <c r="D21" s="24"/>
      <c r="E21" s="24"/>
      <c r="F21" s="24"/>
      <c r="G21" s="24"/>
      <c r="H21" s="24"/>
      <c r="I21" s="24"/>
      <c r="J21" s="131" t="n">
        <f aca="false">SUM(J17:J20)</f>
        <v>2700000</v>
      </c>
      <c r="K21" s="132"/>
    </row>
    <row r="22" customFormat="false" ht="15.75" hidden="false" customHeight="true" outlineLevel="0" collapsed="false">
      <c r="B22" s="136"/>
      <c r="C22" s="31" t="s">
        <v>51</v>
      </c>
      <c r="D22" s="126" t="s">
        <v>52</v>
      </c>
      <c r="E22" s="126" t="n">
        <v>1</v>
      </c>
      <c r="F22" s="127" t="s">
        <v>14</v>
      </c>
      <c r="G22" s="126" t="n">
        <v>1</v>
      </c>
      <c r="H22" s="126" t="s">
        <v>15</v>
      </c>
      <c r="I22" s="128" t="n">
        <v>200000</v>
      </c>
      <c r="J22" s="128" t="n">
        <f aca="false">E22*G22*I22</f>
        <v>200000</v>
      </c>
      <c r="K22" s="138" t="s">
        <v>262</v>
      </c>
    </row>
    <row r="23" customFormat="false" ht="15.75" hidden="false" customHeight="false" outlineLevel="0" collapsed="false">
      <c r="B23" s="136"/>
      <c r="C23" s="136"/>
      <c r="D23" s="126" t="s">
        <v>33</v>
      </c>
      <c r="E23" s="126" t="n">
        <v>1</v>
      </c>
      <c r="F23" s="127" t="s">
        <v>14</v>
      </c>
      <c r="G23" s="126" t="n">
        <v>1</v>
      </c>
      <c r="H23" s="126" t="s">
        <v>15</v>
      </c>
      <c r="I23" s="128" t="n">
        <v>300000</v>
      </c>
      <c r="J23" s="128" t="n">
        <v>600000</v>
      </c>
      <c r="K23" s="138"/>
    </row>
    <row r="24" customFormat="false" ht="15.75" hidden="false" customHeight="false" outlineLevel="0" collapsed="false">
      <c r="B24" s="136"/>
      <c r="C24" s="31"/>
      <c r="D24" s="126" t="s">
        <v>107</v>
      </c>
      <c r="E24" s="126" t="n">
        <v>1</v>
      </c>
      <c r="F24" s="127" t="s">
        <v>14</v>
      </c>
      <c r="G24" s="126" t="n">
        <v>2</v>
      </c>
      <c r="H24" s="126" t="s">
        <v>255</v>
      </c>
      <c r="I24" s="128" t="n">
        <v>400000</v>
      </c>
      <c r="J24" s="128" t="n">
        <f aca="false">E24*G24*I24</f>
        <v>800000</v>
      </c>
      <c r="K24" s="138"/>
    </row>
    <row r="25" customFormat="false" ht="15.75" hidden="false" customHeight="false" outlineLevel="0" collapsed="false">
      <c r="B25" s="136"/>
      <c r="C25" s="24" t="s">
        <v>60</v>
      </c>
      <c r="D25" s="24"/>
      <c r="E25" s="24"/>
      <c r="F25" s="24"/>
      <c r="G25" s="24"/>
      <c r="H25" s="24"/>
      <c r="I25" s="24"/>
      <c r="J25" s="131" t="n">
        <f aca="false">SUM(J22:J24)</f>
        <v>1600000</v>
      </c>
      <c r="K25" s="132"/>
    </row>
    <row r="26" customFormat="false" ht="15.75" hidden="false" customHeight="false" outlineLevel="0" collapsed="false">
      <c r="B26" s="37" t="s">
        <v>62</v>
      </c>
      <c r="C26" s="143" t="s">
        <v>328</v>
      </c>
      <c r="D26" s="143"/>
      <c r="E26" s="143"/>
      <c r="F26" s="143"/>
      <c r="G26" s="142"/>
      <c r="H26" s="142"/>
      <c r="I26" s="197"/>
      <c r="J26" s="198" t="n">
        <v>800000</v>
      </c>
      <c r="K26" s="138" t="s">
        <v>329</v>
      </c>
    </row>
    <row r="27" customFormat="false" ht="15.75" hidden="false" customHeight="false" outlineLevel="0" collapsed="false">
      <c r="B27" s="7" t="s">
        <v>61</v>
      </c>
      <c r="C27" s="7"/>
      <c r="D27" s="7"/>
      <c r="E27" s="7"/>
      <c r="F27" s="7"/>
      <c r="G27" s="7"/>
      <c r="H27" s="7"/>
      <c r="I27" s="7"/>
      <c r="J27" s="198" t="n">
        <v>200000</v>
      </c>
      <c r="K27" s="138"/>
    </row>
    <row r="28" customFormat="false" ht="15.75" hidden="false" customHeight="false" outlineLevel="0" collapsed="false">
      <c r="B28" s="199" t="s">
        <v>330</v>
      </c>
      <c r="C28" s="199"/>
      <c r="D28" s="199"/>
      <c r="E28" s="199"/>
      <c r="F28" s="199"/>
      <c r="G28" s="199"/>
      <c r="H28" s="199"/>
      <c r="I28" s="199"/>
      <c r="J28" s="144" t="n">
        <f aca="false">J16+J21+J25+J26+J27</f>
        <v>7500000</v>
      </c>
      <c r="K28" s="145"/>
    </row>
    <row r="29" customFormat="false" ht="15.75" hidden="false" customHeight="false" outlineLevel="0" collapsed="false">
      <c r="A29" s="68"/>
      <c r="B29" s="68"/>
      <c r="C29" s="68"/>
      <c r="D29" s="68"/>
      <c r="E29" s="68"/>
      <c r="F29" s="68"/>
      <c r="G29" s="68"/>
      <c r="H29" s="68"/>
      <c r="I29" s="146"/>
      <c r="J29" s="146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</row>
    <row r="30" customFormat="false" ht="15.75" hidden="false" customHeight="false" outlineLevel="0" collapsed="false">
      <c r="B30" s="15" t="s">
        <v>331</v>
      </c>
      <c r="C30" s="15"/>
      <c r="D30" s="15"/>
      <c r="E30" s="15"/>
      <c r="F30" s="15"/>
      <c r="G30" s="15"/>
      <c r="H30" s="15"/>
      <c r="I30" s="15"/>
      <c r="J30" s="133"/>
      <c r="K30" s="133"/>
    </row>
    <row r="31" customFormat="false" ht="15.75" hidden="false" customHeight="true" outlineLevel="0" collapsed="false">
      <c r="B31" s="7" t="s">
        <v>62</v>
      </c>
      <c r="C31" s="47" t="s">
        <v>73</v>
      </c>
      <c r="D31" s="147" t="s">
        <v>332</v>
      </c>
      <c r="E31" s="126" t="n">
        <v>1</v>
      </c>
      <c r="F31" s="127" t="s">
        <v>14</v>
      </c>
      <c r="G31" s="126" t="n">
        <v>1</v>
      </c>
      <c r="H31" s="126" t="s">
        <v>15</v>
      </c>
      <c r="I31" s="128" t="n">
        <v>200000</v>
      </c>
      <c r="J31" s="128" t="n">
        <f aca="false">E31*G31*I31</f>
        <v>200000</v>
      </c>
      <c r="K31" s="138" t="s">
        <v>75</v>
      </c>
    </row>
    <row r="32" customFormat="false" ht="15.75" hidden="false" customHeight="false" outlineLevel="0" collapsed="false">
      <c r="B32" s="7"/>
      <c r="C32" s="7"/>
      <c r="D32" s="147" t="s">
        <v>333</v>
      </c>
      <c r="E32" s="126" t="n">
        <v>1</v>
      </c>
      <c r="F32" s="127" t="s">
        <v>14</v>
      </c>
      <c r="G32" s="126" t="n">
        <v>1</v>
      </c>
      <c r="H32" s="126" t="s">
        <v>15</v>
      </c>
      <c r="I32" s="128" t="n">
        <v>250000</v>
      </c>
      <c r="J32" s="128" t="n">
        <f aca="false">E32*G32*I32</f>
        <v>250000</v>
      </c>
      <c r="K32" s="138" t="s">
        <v>271</v>
      </c>
    </row>
    <row r="33" customFormat="false" ht="15.75" hidden="false" customHeight="false" outlineLevel="0" collapsed="false">
      <c r="B33" s="7"/>
      <c r="C33" s="47"/>
      <c r="D33" s="147" t="s">
        <v>334</v>
      </c>
      <c r="E33" s="126" t="n">
        <v>1</v>
      </c>
      <c r="F33" s="127" t="s">
        <v>14</v>
      </c>
      <c r="G33" s="126" t="n">
        <v>1</v>
      </c>
      <c r="H33" s="126" t="s">
        <v>15</v>
      </c>
      <c r="I33" s="128" t="n">
        <v>250000</v>
      </c>
      <c r="J33" s="128" t="n">
        <f aca="false">E33*G33*I33</f>
        <v>250000</v>
      </c>
      <c r="K33" s="138" t="s">
        <v>272</v>
      </c>
    </row>
    <row r="34" customFormat="false" ht="15.75" hidden="false" customHeight="false" outlineLevel="0" collapsed="false">
      <c r="B34" s="7"/>
      <c r="C34" s="35" t="s">
        <v>66</v>
      </c>
      <c r="D34" s="126" t="s">
        <v>335</v>
      </c>
      <c r="E34" s="126" t="n">
        <v>1</v>
      </c>
      <c r="F34" s="127" t="s">
        <v>14</v>
      </c>
      <c r="G34" s="126" t="n">
        <v>1</v>
      </c>
      <c r="H34" s="126" t="s">
        <v>15</v>
      </c>
      <c r="I34" s="200"/>
      <c r="J34" s="200"/>
      <c r="K34" s="201" t="s">
        <v>336</v>
      </c>
    </row>
    <row r="35" customFormat="false" ht="15.75" hidden="false" customHeight="false" outlineLevel="0" collapsed="false">
      <c r="B35" s="7"/>
      <c r="C35" s="7"/>
      <c r="D35" s="126" t="s">
        <v>337</v>
      </c>
      <c r="E35" s="126" t="n">
        <v>1</v>
      </c>
      <c r="F35" s="127" t="s">
        <v>14</v>
      </c>
      <c r="G35" s="126" t="n">
        <v>1</v>
      </c>
      <c r="H35" s="126" t="s">
        <v>15</v>
      </c>
      <c r="I35" s="138" t="n">
        <v>300000</v>
      </c>
      <c r="J35" s="128" t="n">
        <f aca="false">E35*G35*I35</f>
        <v>300000</v>
      </c>
      <c r="K35" s="201" t="s">
        <v>338</v>
      </c>
    </row>
    <row r="36" customFormat="false" ht="15.75" hidden="false" customHeight="false" outlineLevel="0" collapsed="false">
      <c r="B36" s="7"/>
      <c r="C36" s="7"/>
      <c r="D36" s="126" t="s">
        <v>91</v>
      </c>
      <c r="E36" s="126" t="n">
        <v>1</v>
      </c>
      <c r="F36" s="127" t="s">
        <v>14</v>
      </c>
      <c r="G36" s="126" t="n">
        <v>1</v>
      </c>
      <c r="H36" s="126" t="s">
        <v>15</v>
      </c>
      <c r="I36" s="138" t="n">
        <v>800000</v>
      </c>
      <c r="J36" s="128" t="n">
        <f aca="false">E36*G36*I36</f>
        <v>800000</v>
      </c>
      <c r="K36" s="201" t="s">
        <v>90</v>
      </c>
    </row>
  </sheetData>
  <mergeCells count="19">
    <mergeCell ref="B5:B6"/>
    <mergeCell ref="C5:C6"/>
    <mergeCell ref="B7:I7"/>
    <mergeCell ref="B9:I9"/>
    <mergeCell ref="B11:B25"/>
    <mergeCell ref="C11:C15"/>
    <mergeCell ref="C16:I16"/>
    <mergeCell ref="C17:C20"/>
    <mergeCell ref="C21:I21"/>
    <mergeCell ref="C22:C24"/>
    <mergeCell ref="C25:I25"/>
    <mergeCell ref="C26:F26"/>
    <mergeCell ref="B27:I27"/>
    <mergeCell ref="B28:I28"/>
    <mergeCell ref="B30:I30"/>
    <mergeCell ref="B31:B36"/>
    <mergeCell ref="C31:C33"/>
    <mergeCell ref="C34:C36"/>
    <mergeCell ref="I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2026-02-21T08:04:35Z</dcterms:created>
  <dc:creator>openpyxl</dc:creator>
  <dc:description/>
  <dc:language>en-US</dc:language>
  <cp:lastModifiedBy/>
  <dcterms:modified xsi:type="dcterms:W3CDTF">2026-02-21T08:04:36Z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