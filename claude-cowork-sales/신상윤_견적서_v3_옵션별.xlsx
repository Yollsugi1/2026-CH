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 총괄" sheetId="1" state="visible" r:id="rId3"/>
    <sheet name="1안 세부단가" sheetId="2" state="visible" r:id="rId4"/>
    <sheet name="2안 세부단가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<sst xmlns="http://schemas.openxmlformats.org/spreadsheetml/2006/main" count="159" uniqueCount="60">
  <si>
    <t xml:space="preserve">크리에이터후드 × (주)아이스클래식 — 견적서</t>
  </si>
  <si>
    <t xml:space="preserve">작성일: 2026년 2월 | 계약: 2026년 연간 계약 | 총 예산: ₩600만/월 (VAT 별도)</t>
  </si>
  <si>
    <t xml:space="preserve">1안</t>
  </si>
  <si>
    <t xml:space="preserve">박스페이스의 현재 예산 한계를 고려하여 책정한 구조입니다. 로켓츠는 다양한 클래스와 멤버를 활용해 여러 콘텐츠 시리즈가 나올 수 있도록 채널 기획부터 함께 진행하며, 박스페이스는 예산에 맞춰 콘텐츠 톤앤매너를 반영한 제작에 집중합니다.</t>
  </si>
  <si>
    <t xml:space="preserve">No</t>
  </si>
  <si>
    <t xml:space="preserve">서비스 항목</t>
  </si>
  <si>
    <t xml:space="preserve">로켓츠</t>
  </si>
  <si>
    <t xml:space="preserve">박스페이스</t>
  </si>
  <si>
    <t xml:space="preserve">비고</t>
  </si>
  <si>
    <t xml:space="preserve">월 예산</t>
  </si>
  <si>
    <t xml:space="preserve">릴스 제작</t>
  </si>
  <si>
    <t xml:space="preserve">12건/월</t>
  </si>
  <si>
    <t xml:space="preserve">브랜드당 12건</t>
  </si>
  <si>
    <t xml:space="preserve">캐러셀 +α</t>
  </si>
  <si>
    <t xml:space="preserve">2건/월</t>
  </si>
  <si>
    <t xml:space="preserve">4건/월</t>
  </si>
  <si>
    <t xml:space="preserve">채널 기획</t>
  </si>
  <si>
    <t xml:space="preserve">포함</t>
  </si>
  <si>
    <t xml:space="preserve">방향성·캘린더·시리즈</t>
  </si>
  <si>
    <t xml:space="preserve">기획 + 촬영</t>
  </si>
  <si>
    <t xml:space="preserve">월 2회 격주</t>
  </si>
  <si>
    <t xml:space="preserve">채널 관리</t>
  </si>
  <si>
    <t xml:space="preserve">업로드·스케줄링</t>
  </si>
  <si>
    <t xml:space="preserve">리포팅 공유</t>
  </si>
  <si>
    <t xml:space="preserve">월간 퍼포먼스 리포트</t>
  </si>
  <si>
    <t xml:space="preserve">월 합계</t>
  </si>
  <si>
    <t xml:space="preserve">2안</t>
  </si>
  <si>
    <t xml:space="preserve">두 채널 모두 채널 기획부터 채널 관리까지 전 퍼널에서 예산에 맞게 단가를 책정하여 진행하는 구조입니다. 각 브랜드의 예산에 맞춰 콘텐츠에 투입되는 리소스와 톤앤매너를 반영합니다.</t>
  </si>
  <si>
    <t xml:space="preserve">금액 요약 (1안·2안 동일)</t>
  </si>
  <si>
    <t xml:space="preserve">구분</t>
  </si>
  <si>
    <t xml:space="preserve">금액</t>
  </si>
  <si>
    <t xml:space="preserve">월 서비스 비용</t>
  </si>
  <si>
    <t xml:space="preserve">VAT (10%)</t>
  </si>
  <si>
    <t xml:space="preserve">월 합계 (VAT 포함)</t>
  </si>
  <si>
    <t xml:space="preserve">연간 총액 (12개월)</t>
  </si>
  <si>
    <t xml:space="preserve">1안 — 건별 세부단가</t>
  </si>
  <si>
    <t xml:space="preserve">로켓츠 ₩400만 / 박스페이스 ₩200만</t>
  </si>
  <si>
    <t xml:space="preserve">로켓츠 (아이스하키 교육) — 월 ₩4,000,000</t>
  </si>
  <si>
    <t xml:space="preserve">항목</t>
  </si>
  <si>
    <t xml:space="preserve">수량</t>
  </si>
  <si>
    <t xml:space="preserve">단가 (₩)</t>
  </si>
  <si>
    <t xml:space="preserve">월 소계 (₩)</t>
  </si>
  <si>
    <t xml:space="preserve">릴스 콘텐츠 제작</t>
  </si>
  <si>
    <t xml:space="preserve">기획+촬영+편집</t>
  </si>
  <si>
    <t xml:space="preserve">캐러셀 콘텐츠</t>
  </si>
  <si>
    <t xml:space="preserve">기획+디자인+카피</t>
  </si>
  <si>
    <t xml:space="preserve">방향성·시리즈·캘린더</t>
  </si>
  <si>
    <t xml:space="preserve">격주 1회</t>
  </si>
  <si>
    <t xml:space="preserve">업로드·해시태그·스케줄</t>
  </si>
  <si>
    <t xml:space="preserve">로켓츠 월 합계</t>
  </si>
  <si>
    <t xml:space="preserve">박스페이스 (복싱 &amp; 피트니스) — 월 ₩2,000,000</t>
  </si>
  <si>
    <t xml:space="preserve">기존 톤 유지 편집</t>
  </si>
  <si>
    <t xml:space="preserve">방향성·캘린더</t>
  </si>
  <si>
    <t xml:space="preserve">박스페이스 월 합계</t>
  </si>
  <si>
    <t xml:space="preserve">1안 월 총합계</t>
  </si>
  <si>
    <t xml:space="preserve">2안 — 건별 세부단가</t>
  </si>
  <si>
    <t xml:space="preserve">로켓츠 ₩350만 / 박스페이스 ₩250만</t>
  </si>
  <si>
    <t xml:space="preserve">로켓츠 (아이스하키 교육) — 월 ₩3,500,000</t>
  </si>
  <si>
    <t xml:space="preserve">박스페이스 (복싱 &amp; 피트니스) — 월 ₩2,500,000</t>
  </si>
  <si>
    <t xml:space="preserve">2안 월 총합계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</si>
</sst>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Freesentation 7 Bold"/>
      <family val="0"/>
      <charset val="1"/>
    </font>
    <font>
      <sz val="10"/>
      <color rgb="FF666666"/>
      <name val="Freesentation 4 Regular"/>
      <family val="0"/>
      <charset val="1"/>
    </font>
    <font>
      <b val="true"/>
      <sz val="12"/>
      <color rgb="FFE94560"/>
      <name val="Freesentation 7 Bold"/>
      <family val="0"/>
      <charset val="1"/>
    </font>
    <font>
      <sz val="9"/>
      <color rgb="FF666666"/>
      <name val="Freesentation 4 Regular"/>
      <family val="0"/>
      <charset val="1"/>
    </font>
    <font>
      <b val="true"/>
      <sz val="11"/>
      <color rgb="FFFFFFFF"/>
      <name val="Freesentation 7 Bold"/>
      <family val="0"/>
      <charset val="1"/>
    </font>
    <font>
      <sz val="10"/>
      <color rgb="FF333333"/>
      <name val="Freesentation 4 Regular"/>
      <family val="0"/>
      <charset val="1"/>
    </font>
    <font>
      <b val="true"/>
      <sz val="12"/>
      <color rgb="FF1A1A2E"/>
      <name val="Freesentation 7 Bold"/>
      <family val="0"/>
      <charset val="1"/>
    </font>
    <font>
      <b val="true"/>
      <sz val="10"/>
      <color rgb="FF1A1A2E"/>
      <name val="Freesentation 7 Bold"/>
      <family val="0"/>
      <charset val="1"/>
    </font>
    <font>
      <b val="true"/>
      <sz val="10"/>
      <color rgb="FFE94560"/>
      <name val="Freesentation 7 Bold"/>
      <family val="0"/>
      <charset val="1"/>
    </font>
    <font>
      <b val="true"/>
      <sz val="11"/>
      <color rgb="FF0F3460"/>
      <name val="Freesentation 7 Bold"/>
      <family val="0"/>
      <charset val="1"/>
    </font>
    <font>
      <b val="true"/>
      <sz val="11"/>
      <color rgb="FFE94560"/>
      <name val="Freesentation 7 Bold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1A1A2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5" min="3" style="0" width="18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22.35" hidden="false" customHeight="true" outlineLevel="0" collapsed="false">
      <c r="A5" s="4" t="s">
        <v>3</v>
      </c>
      <c r="B5" s="4"/>
      <c r="C5" s="4"/>
      <c r="D5" s="4"/>
      <c r="E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customFormat="false" ht="15" hidden="false" customHeight="false" outlineLevel="0" collapsed="false">
      <c r="A7" s="6" t="n">
        <v>1</v>
      </c>
      <c r="B7" s="7" t="s">
        <v>9</v>
      </c>
      <c r="C7" s="8" t="n">
        <v>4000000</v>
      </c>
      <c r="D7" s="8" t="n">
        <v>2000000</v>
      </c>
      <c r="E7" s="4"/>
    </row>
    <row r="8" customFormat="false" ht="15" hidden="false" customHeight="false" outlineLevel="0" collapsed="false">
      <c r="A8" s="6" t="n">
        <v>2</v>
      </c>
      <c r="B8" s="7" t="s">
        <v>10</v>
      </c>
      <c r="C8" s="6" t="s">
        <v>11</v>
      </c>
      <c r="D8" s="6" t="s">
        <v>11</v>
      </c>
      <c r="E8" s="4" t="s">
        <v>12</v>
      </c>
    </row>
    <row r="9" customFormat="false" ht="15" hidden="false" customHeight="false" outlineLevel="0" collapsed="false">
      <c r="A9" s="6" t="n">
        <v>3</v>
      </c>
      <c r="B9" s="7" t="s">
        <v>13</v>
      </c>
      <c r="C9" s="6" t="s">
        <v>14</v>
      </c>
      <c r="D9" s="6" t="s">
        <v>15</v>
      </c>
      <c r="E9" s="4"/>
    </row>
    <row r="10" customFormat="false" ht="15" hidden="false" customHeight="false" outlineLevel="0" collapsed="false">
      <c r="A10" s="6" t="n">
        <v>4</v>
      </c>
      <c r="B10" s="7" t="s">
        <v>16</v>
      </c>
      <c r="C10" s="6" t="s">
        <v>17</v>
      </c>
      <c r="D10" s="6" t="s">
        <v>17</v>
      </c>
      <c r="E10" s="4" t="s">
        <v>18</v>
      </c>
    </row>
    <row r="11" customFormat="false" ht="15" hidden="false" customHeight="false" outlineLevel="0" collapsed="false">
      <c r="A11" s="6" t="n">
        <v>5</v>
      </c>
      <c r="B11" s="7" t="s">
        <v>19</v>
      </c>
      <c r="C11" s="6" t="s">
        <v>17</v>
      </c>
      <c r="D11" s="6" t="s">
        <v>17</v>
      </c>
      <c r="E11" s="4" t="s">
        <v>20</v>
      </c>
    </row>
    <row r="12" customFormat="false" ht="15" hidden="false" customHeight="false" outlineLevel="0" collapsed="false">
      <c r="A12" s="6" t="n">
        <v>6</v>
      </c>
      <c r="B12" s="7" t="s">
        <v>21</v>
      </c>
      <c r="C12" s="6" t="s">
        <v>17</v>
      </c>
      <c r="D12" s="6" t="s">
        <v>17</v>
      </c>
      <c r="E12" s="4" t="s">
        <v>22</v>
      </c>
    </row>
    <row r="13" customFormat="false" ht="15" hidden="false" customHeight="false" outlineLevel="0" collapsed="false">
      <c r="A13" s="6" t="n">
        <v>7</v>
      </c>
      <c r="B13" s="7" t="s">
        <v>23</v>
      </c>
      <c r="C13" s="6" t="s">
        <v>17</v>
      </c>
      <c r="D13" s="6" t="s">
        <v>17</v>
      </c>
      <c r="E13" s="4" t="s">
        <v>24</v>
      </c>
    </row>
    <row r="14" customFormat="false" ht="15" hidden="false" customHeight="false" outlineLevel="0" collapsed="false">
      <c r="A14" s="9"/>
      <c r="B14" s="10" t="s">
        <v>25</v>
      </c>
      <c r="C14" s="11" t="n">
        <f aca="false">C7</f>
        <v>4000000</v>
      </c>
      <c r="D14" s="11" t="n">
        <f aca="false">D7</f>
        <v>2000000</v>
      </c>
      <c r="E14" s="11" t="n">
        <f aca="false">C14+D14</f>
        <v>6000000</v>
      </c>
    </row>
    <row r="16" customFormat="false" ht="15" hidden="false" customHeight="true" outlineLevel="0" collapsed="false">
      <c r="A16" s="3" t="s">
        <v>26</v>
      </c>
      <c r="B16" s="3"/>
      <c r="C16" s="3"/>
      <c r="D16" s="3"/>
      <c r="E16" s="3"/>
    </row>
    <row r="17" customFormat="false" ht="22.35" hidden="false" customHeight="true" outlineLevel="0" collapsed="false">
      <c r="A17" s="4" t="s">
        <v>27</v>
      </c>
      <c r="B17" s="4"/>
      <c r="C17" s="4"/>
      <c r="D17" s="4"/>
      <c r="E17" s="4"/>
    </row>
    <row r="18" customFormat="false" ht="15" hidden="false" customHeight="false" outlineLevel="0" collapsed="false">
      <c r="A18" s="5" t="s">
        <v>4</v>
      </c>
      <c r="B18" s="5" t="s">
        <v>5</v>
      </c>
      <c r="C18" s="5" t="s">
        <v>6</v>
      </c>
      <c r="D18" s="5" t="s">
        <v>7</v>
      </c>
      <c r="E18" s="5" t="s">
        <v>8</v>
      </c>
    </row>
    <row r="19" customFormat="false" ht="15" hidden="false" customHeight="false" outlineLevel="0" collapsed="false">
      <c r="A19" s="6" t="n">
        <v>1</v>
      </c>
      <c r="B19" s="7" t="s">
        <v>9</v>
      </c>
      <c r="C19" s="8" t="n">
        <v>3500000</v>
      </c>
      <c r="D19" s="8" t="n">
        <v>2500000</v>
      </c>
      <c r="E19" s="4"/>
    </row>
    <row r="20" customFormat="false" ht="15" hidden="false" customHeight="false" outlineLevel="0" collapsed="false">
      <c r="A20" s="6" t="n">
        <v>2</v>
      </c>
      <c r="B20" s="7" t="s">
        <v>10</v>
      </c>
      <c r="C20" s="6" t="s">
        <v>11</v>
      </c>
      <c r="D20" s="6" t="s">
        <v>11</v>
      </c>
      <c r="E20" s="4" t="s">
        <v>12</v>
      </c>
    </row>
    <row r="21" customFormat="false" ht="15" hidden="false" customHeight="false" outlineLevel="0" collapsed="false">
      <c r="A21" s="6" t="n">
        <v>3</v>
      </c>
      <c r="B21" s="7" t="s">
        <v>13</v>
      </c>
      <c r="C21" s="6" t="s">
        <v>14</v>
      </c>
      <c r="D21" s="6" t="s">
        <v>15</v>
      </c>
      <c r="E21" s="4"/>
    </row>
    <row r="22" customFormat="false" ht="15" hidden="false" customHeight="false" outlineLevel="0" collapsed="false">
      <c r="A22" s="6" t="n">
        <v>4</v>
      </c>
      <c r="B22" s="7" t="s">
        <v>16</v>
      </c>
      <c r="C22" s="6" t="s">
        <v>17</v>
      </c>
      <c r="D22" s="6" t="s">
        <v>17</v>
      </c>
      <c r="E22" s="4" t="s">
        <v>18</v>
      </c>
    </row>
    <row r="23" customFormat="false" ht="15" hidden="false" customHeight="false" outlineLevel="0" collapsed="false">
      <c r="A23" s="6" t="n">
        <v>5</v>
      </c>
      <c r="B23" s="7" t="s">
        <v>19</v>
      </c>
      <c r="C23" s="6" t="s">
        <v>17</v>
      </c>
      <c r="D23" s="6" t="s">
        <v>17</v>
      </c>
      <c r="E23" s="4" t="s">
        <v>20</v>
      </c>
    </row>
    <row r="24" customFormat="false" ht="15" hidden="false" customHeight="false" outlineLevel="0" collapsed="false">
      <c r="A24" s="6" t="n">
        <v>6</v>
      </c>
      <c r="B24" s="7" t="s">
        <v>21</v>
      </c>
      <c r="C24" s="6" t="s">
        <v>17</v>
      </c>
      <c r="D24" s="6" t="s">
        <v>17</v>
      </c>
      <c r="E24" s="4" t="s">
        <v>22</v>
      </c>
    </row>
    <row r="25" customFormat="false" ht="15" hidden="false" customHeight="false" outlineLevel="0" collapsed="false">
      <c r="A25" s="6" t="n">
        <v>7</v>
      </c>
      <c r="B25" s="7" t="s">
        <v>23</v>
      </c>
      <c r="C25" s="6" t="s">
        <v>17</v>
      </c>
      <c r="D25" s="6" t="s">
        <v>17</v>
      </c>
      <c r="E25" s="4" t="s">
        <v>24</v>
      </c>
    </row>
    <row r="26" customFormat="false" ht="15" hidden="false" customHeight="false" outlineLevel="0" collapsed="false">
      <c r="A26" s="9"/>
      <c r="B26" s="10" t="s">
        <v>25</v>
      </c>
      <c r="C26" s="11" t="n">
        <f aca="false">C19</f>
        <v>3500000</v>
      </c>
      <c r="D26" s="11" t="n">
        <f aca="false">D19</f>
        <v>2500000</v>
      </c>
      <c r="E26" s="11" t="n">
        <f aca="false">C26+D26</f>
        <v>6000000</v>
      </c>
    </row>
    <row r="28" customFormat="false" ht="15" hidden="false" customHeight="true" outlineLevel="0" collapsed="false">
      <c r="A28" s="12" t="s">
        <v>28</v>
      </c>
      <c r="B28" s="12"/>
      <c r="C28" s="12"/>
      <c r="D28" s="12"/>
      <c r="E28" s="12"/>
    </row>
    <row r="29" customFormat="false" ht="15" hidden="false" customHeight="false" outlineLevel="0" collapsed="false">
      <c r="A29" s="5"/>
      <c r="B29" s="5" t="s">
        <v>29</v>
      </c>
      <c r="C29" s="5" t="s">
        <v>30</v>
      </c>
      <c r="D29" s="5"/>
      <c r="E29" s="5"/>
    </row>
    <row r="30" customFormat="false" ht="15" hidden="false" customHeight="false" outlineLevel="0" collapsed="false">
      <c r="A30" s="6"/>
      <c r="B30" s="7" t="s">
        <v>31</v>
      </c>
      <c r="C30" s="8" t="n">
        <v>6000000</v>
      </c>
      <c r="D30" s="6"/>
      <c r="E30" s="6"/>
    </row>
    <row r="31" customFormat="false" ht="15" hidden="false" customHeight="false" outlineLevel="0" collapsed="false">
      <c r="A31" s="6"/>
      <c r="B31" s="7" t="s">
        <v>32</v>
      </c>
      <c r="C31" s="8" t="n">
        <f aca="false">C30*0.1</f>
        <v>600000</v>
      </c>
      <c r="D31" s="6"/>
      <c r="E31" s="6"/>
    </row>
    <row r="32" customFormat="false" ht="15" hidden="false" customHeight="false" outlineLevel="0" collapsed="false">
      <c r="A32" s="6"/>
      <c r="B32" s="13" t="s">
        <v>33</v>
      </c>
      <c r="C32" s="14" t="n">
        <f aca="false">C30+C31</f>
        <v>6600000</v>
      </c>
      <c r="D32" s="6"/>
      <c r="E32" s="6"/>
    </row>
    <row r="33" customFormat="false" ht="15" hidden="false" customHeight="false" outlineLevel="0" collapsed="false">
      <c r="A33" s="6"/>
      <c r="B33" s="13" t="s">
        <v>34</v>
      </c>
      <c r="C33" s="14" t="n">
        <f aca="false">C32*12</f>
        <v>79200000</v>
      </c>
      <c r="D33" s="6"/>
      <c r="E33" s="6"/>
    </row>
  </sheetData>
  <mergeCells count="7">
    <mergeCell ref="A1:E1"/>
    <mergeCell ref="A2:E2"/>
    <mergeCell ref="A4:E4"/>
    <mergeCell ref="A5:E5"/>
    <mergeCell ref="A16:E16"/>
    <mergeCell ref="A17:E1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6" min="4" style="0" width="18"/>
  </cols>
  <sheetData>
    <row r="1" customFormat="false" ht="17.9" hidden="false" customHeight="true" outlineLevel="0" collapsed="false">
      <c r="A1" s="1" t="s">
        <v>35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36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15" t="s">
        <v>37</v>
      </c>
      <c r="B4" s="15"/>
      <c r="C4" s="15"/>
      <c r="D4" s="15"/>
      <c r="E4" s="15"/>
      <c r="F4" s="15"/>
    </row>
    <row r="5" customFormat="false" ht="15" hidden="false" customHeight="false" outlineLevel="0" collapsed="false">
      <c r="A5" s="5" t="s">
        <v>4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8</v>
      </c>
    </row>
    <row r="6" customFormat="false" ht="15" hidden="false" customHeight="false" outlineLevel="0" collapsed="false">
      <c r="A6" s="6" t="n">
        <v>1</v>
      </c>
      <c r="B6" s="7" t="s">
        <v>42</v>
      </c>
      <c r="C6" s="6" t="n">
        <v>12</v>
      </c>
      <c r="D6" s="8" t="n">
        <v>200000</v>
      </c>
      <c r="E6" s="8" t="n">
        <f aca="false">C6*D6</f>
        <v>2400000</v>
      </c>
      <c r="F6" s="4" t="s">
        <v>43</v>
      </c>
    </row>
    <row r="7" customFormat="false" ht="15" hidden="false" customHeight="false" outlineLevel="0" collapsed="false">
      <c r="A7" s="6" t="n">
        <v>2</v>
      </c>
      <c r="B7" s="7" t="s">
        <v>44</v>
      </c>
      <c r="C7" s="6" t="n">
        <v>2</v>
      </c>
      <c r="D7" s="8" t="n">
        <v>150000</v>
      </c>
      <c r="E7" s="8" t="n">
        <f aca="false">C7*D7</f>
        <v>300000</v>
      </c>
      <c r="F7" s="4" t="s">
        <v>45</v>
      </c>
    </row>
    <row r="8" customFormat="false" ht="15" hidden="false" customHeight="false" outlineLevel="0" collapsed="false">
      <c r="A8" s="6" t="n">
        <v>3</v>
      </c>
      <c r="B8" s="7" t="s">
        <v>16</v>
      </c>
      <c r="C8" s="6" t="n">
        <v>1</v>
      </c>
      <c r="D8" s="8" t="n">
        <v>400000</v>
      </c>
      <c r="E8" s="8" t="n">
        <f aca="false">C8*D8</f>
        <v>400000</v>
      </c>
      <c r="F8" s="4" t="s">
        <v>46</v>
      </c>
    </row>
    <row r="9" customFormat="false" ht="15" hidden="false" customHeight="false" outlineLevel="0" collapsed="false">
      <c r="A9" s="6" t="n">
        <v>4</v>
      </c>
      <c r="B9" s="7" t="s">
        <v>19</v>
      </c>
      <c r="C9" s="6" t="n">
        <v>2</v>
      </c>
      <c r="D9" s="8" t="n">
        <v>250000</v>
      </c>
      <c r="E9" s="8" t="n">
        <f aca="false">C9*D9</f>
        <v>500000</v>
      </c>
      <c r="F9" s="4" t="s">
        <v>47</v>
      </c>
    </row>
    <row r="10" customFormat="false" ht="15" hidden="false" customHeight="false" outlineLevel="0" collapsed="false">
      <c r="A10" s="6" t="n">
        <v>5</v>
      </c>
      <c r="B10" s="7" t="s">
        <v>21</v>
      </c>
      <c r="C10" s="6" t="n">
        <v>1</v>
      </c>
      <c r="D10" s="8" t="n">
        <v>250000</v>
      </c>
      <c r="E10" s="8" t="n">
        <f aca="false">C10*D10</f>
        <v>250000</v>
      </c>
      <c r="F10" s="4" t="s">
        <v>48</v>
      </c>
    </row>
    <row r="11" customFormat="false" ht="15" hidden="false" customHeight="false" outlineLevel="0" collapsed="false">
      <c r="A11" s="6" t="n">
        <v>6</v>
      </c>
      <c r="B11" s="7" t="s">
        <v>23</v>
      </c>
      <c r="C11" s="6" t="n">
        <v>1</v>
      </c>
      <c r="D11" s="8" t="n">
        <v>150000</v>
      </c>
      <c r="E11" s="8" t="n">
        <f aca="false">C11*D11</f>
        <v>150000</v>
      </c>
      <c r="F11" s="4" t="s">
        <v>24</v>
      </c>
    </row>
    <row r="12" customFormat="false" ht="15" hidden="false" customHeight="false" outlineLevel="0" collapsed="false">
      <c r="A12" s="9"/>
      <c r="B12" s="10" t="s">
        <v>49</v>
      </c>
      <c r="C12" s="9"/>
      <c r="D12" s="9"/>
      <c r="E12" s="11" t="n">
        <f aca="false">SUM(E6:E11)</f>
        <v>4000000</v>
      </c>
      <c r="F12" s="9"/>
    </row>
    <row r="14" customFormat="false" ht="15" hidden="false" customHeight="true" outlineLevel="0" collapsed="false">
      <c r="A14" s="15" t="s">
        <v>50</v>
      </c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5" t="s">
        <v>4</v>
      </c>
      <c r="B15" s="5" t="s">
        <v>38</v>
      </c>
      <c r="C15" s="5" t="s">
        <v>39</v>
      </c>
      <c r="D15" s="5" t="s">
        <v>40</v>
      </c>
      <c r="E15" s="5" t="s">
        <v>41</v>
      </c>
      <c r="F15" s="5" t="s">
        <v>8</v>
      </c>
    </row>
    <row r="16" customFormat="false" ht="15" hidden="false" customHeight="false" outlineLevel="0" collapsed="false">
      <c r="A16" s="6" t="n">
        <v>1</v>
      </c>
      <c r="B16" s="7" t="s">
        <v>42</v>
      </c>
      <c r="C16" s="6" t="n">
        <v>12</v>
      </c>
      <c r="D16" s="8" t="n">
        <v>100000</v>
      </c>
      <c r="E16" s="8" t="n">
        <f aca="false">C16*D16</f>
        <v>1200000</v>
      </c>
      <c r="F16" s="4" t="s">
        <v>51</v>
      </c>
    </row>
    <row r="17" customFormat="false" ht="15" hidden="false" customHeight="false" outlineLevel="0" collapsed="false">
      <c r="A17" s="6" t="n">
        <v>2</v>
      </c>
      <c r="B17" s="7" t="s">
        <v>44</v>
      </c>
      <c r="C17" s="6" t="n">
        <v>4</v>
      </c>
      <c r="D17" s="8" t="n">
        <v>80000</v>
      </c>
      <c r="E17" s="8" t="n">
        <f aca="false">C17*D17</f>
        <v>320000</v>
      </c>
      <c r="F17" s="4" t="s">
        <v>45</v>
      </c>
    </row>
    <row r="18" customFormat="false" ht="15" hidden="false" customHeight="false" outlineLevel="0" collapsed="false">
      <c r="A18" s="6" t="n">
        <v>3</v>
      </c>
      <c r="B18" s="7" t="s">
        <v>16</v>
      </c>
      <c r="C18" s="6" t="n">
        <v>1</v>
      </c>
      <c r="D18" s="8" t="n">
        <v>150000</v>
      </c>
      <c r="E18" s="8" t="n">
        <f aca="false">C18*D18</f>
        <v>150000</v>
      </c>
      <c r="F18" s="4" t="s">
        <v>52</v>
      </c>
    </row>
    <row r="19" customFormat="false" ht="15" hidden="false" customHeight="false" outlineLevel="0" collapsed="false">
      <c r="A19" s="6" t="n">
        <v>4</v>
      </c>
      <c r="B19" s="7" t="s">
        <v>19</v>
      </c>
      <c r="C19" s="6" t="n">
        <v>2</v>
      </c>
      <c r="D19" s="8" t="n">
        <v>80000</v>
      </c>
      <c r="E19" s="8" t="n">
        <f aca="false">C19*D19</f>
        <v>160000</v>
      </c>
      <c r="F19" s="4" t="s">
        <v>47</v>
      </c>
    </row>
    <row r="20" customFormat="false" ht="15" hidden="false" customHeight="false" outlineLevel="0" collapsed="false">
      <c r="A20" s="6" t="n">
        <v>5</v>
      </c>
      <c r="B20" s="7" t="s">
        <v>21</v>
      </c>
      <c r="C20" s="6" t="n">
        <v>1</v>
      </c>
      <c r="D20" s="8" t="n">
        <v>100000</v>
      </c>
      <c r="E20" s="8" t="n">
        <f aca="false">C20*D20</f>
        <v>100000</v>
      </c>
      <c r="F20" s="4" t="s">
        <v>48</v>
      </c>
    </row>
    <row r="21" customFormat="false" ht="15" hidden="false" customHeight="false" outlineLevel="0" collapsed="false">
      <c r="A21" s="6" t="n">
        <v>6</v>
      </c>
      <c r="B21" s="7" t="s">
        <v>23</v>
      </c>
      <c r="C21" s="6" t="n">
        <v>1</v>
      </c>
      <c r="D21" s="8" t="n">
        <v>70000</v>
      </c>
      <c r="E21" s="8" t="n">
        <f aca="false">C21*D21</f>
        <v>70000</v>
      </c>
      <c r="F21" s="4" t="s">
        <v>24</v>
      </c>
    </row>
    <row r="22" customFormat="false" ht="15" hidden="false" customHeight="false" outlineLevel="0" collapsed="false">
      <c r="A22" s="9"/>
      <c r="B22" s="10" t="s">
        <v>53</v>
      </c>
      <c r="C22" s="9"/>
      <c r="D22" s="9"/>
      <c r="E22" s="11" t="n">
        <f aca="false">SUM(E16:E21)</f>
        <v>2000000</v>
      </c>
      <c r="F22" s="9"/>
    </row>
    <row r="24" customFormat="false" ht="15" hidden="false" customHeight="false" outlineLevel="0" collapsed="false">
      <c r="A24" s="16"/>
      <c r="B24" s="17" t="s">
        <v>54</v>
      </c>
      <c r="C24" s="6"/>
      <c r="D24" s="6"/>
      <c r="E24" s="18" t="n">
        <f aca="false">E12+E22</f>
        <v>6000000</v>
      </c>
      <c r="F24" s="6"/>
    </row>
  </sheetData>
  <mergeCells count="4">
    <mergeCell ref="A1:F1"/>
    <mergeCell ref="A2:F2"/>
    <mergeCell ref="A4:F4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6" min="4" style="0" width="18"/>
  </cols>
  <sheetData>
    <row r="1" customFormat="false" ht="17.9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56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15" t="s">
        <v>57</v>
      </c>
      <c r="B4" s="15"/>
      <c r="C4" s="15"/>
      <c r="D4" s="15"/>
      <c r="E4" s="15"/>
      <c r="F4" s="15"/>
    </row>
    <row r="5" customFormat="false" ht="15" hidden="false" customHeight="false" outlineLevel="0" collapsed="false">
      <c r="A5" s="5" t="s">
        <v>4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8</v>
      </c>
    </row>
    <row r="6" customFormat="false" ht="15" hidden="false" customHeight="false" outlineLevel="0" collapsed="false">
      <c r="A6" s="6" t="n">
        <v>1</v>
      </c>
      <c r="B6" s="7" t="s">
        <v>42</v>
      </c>
      <c r="C6" s="6" t="n">
        <v>12</v>
      </c>
      <c r="D6" s="8" t="n">
        <v>175000</v>
      </c>
      <c r="E6" s="8" t="n">
        <f aca="false">C6*D6</f>
        <v>2100000</v>
      </c>
      <c r="F6" s="4" t="s">
        <v>43</v>
      </c>
    </row>
    <row r="7" customFormat="false" ht="15" hidden="false" customHeight="false" outlineLevel="0" collapsed="false">
      <c r="A7" s="6" t="n">
        <v>2</v>
      </c>
      <c r="B7" s="7" t="s">
        <v>44</v>
      </c>
      <c r="C7" s="6" t="n">
        <v>2</v>
      </c>
      <c r="D7" s="8" t="n">
        <v>130000</v>
      </c>
      <c r="E7" s="8" t="n">
        <f aca="false">C7*D7</f>
        <v>260000</v>
      </c>
      <c r="F7" s="4" t="s">
        <v>45</v>
      </c>
    </row>
    <row r="8" customFormat="false" ht="15" hidden="false" customHeight="false" outlineLevel="0" collapsed="false">
      <c r="A8" s="6" t="n">
        <v>3</v>
      </c>
      <c r="B8" s="7" t="s">
        <v>16</v>
      </c>
      <c r="C8" s="6" t="n">
        <v>1</v>
      </c>
      <c r="D8" s="8" t="n">
        <v>350000</v>
      </c>
      <c r="E8" s="8" t="n">
        <f aca="false">C8*D8</f>
        <v>350000</v>
      </c>
      <c r="F8" s="4" t="s">
        <v>46</v>
      </c>
    </row>
    <row r="9" customFormat="false" ht="15" hidden="false" customHeight="false" outlineLevel="0" collapsed="false">
      <c r="A9" s="6" t="n">
        <v>4</v>
      </c>
      <c r="B9" s="7" t="s">
        <v>19</v>
      </c>
      <c r="C9" s="6" t="n">
        <v>2</v>
      </c>
      <c r="D9" s="8" t="n">
        <v>220000</v>
      </c>
      <c r="E9" s="8" t="n">
        <f aca="false">C9*D9</f>
        <v>440000</v>
      </c>
      <c r="F9" s="4" t="s">
        <v>47</v>
      </c>
    </row>
    <row r="10" customFormat="false" ht="15" hidden="false" customHeight="false" outlineLevel="0" collapsed="false">
      <c r="A10" s="6" t="n">
        <v>5</v>
      </c>
      <c r="B10" s="7" t="s">
        <v>21</v>
      </c>
      <c r="C10" s="6" t="n">
        <v>1</v>
      </c>
      <c r="D10" s="8" t="n">
        <v>220000</v>
      </c>
      <c r="E10" s="8" t="n">
        <f aca="false">C10*D10</f>
        <v>220000</v>
      </c>
      <c r="F10" s="4" t="s">
        <v>48</v>
      </c>
    </row>
    <row r="11" customFormat="false" ht="15" hidden="false" customHeight="false" outlineLevel="0" collapsed="false">
      <c r="A11" s="6" t="n">
        <v>6</v>
      </c>
      <c r="B11" s="7" t="s">
        <v>23</v>
      </c>
      <c r="C11" s="6" t="n">
        <v>1</v>
      </c>
      <c r="D11" s="8" t="n">
        <v>130000</v>
      </c>
      <c r="E11" s="8" t="n">
        <f aca="false">C11*D11</f>
        <v>130000</v>
      </c>
      <c r="F11" s="4" t="s">
        <v>24</v>
      </c>
    </row>
    <row r="12" customFormat="false" ht="15" hidden="false" customHeight="false" outlineLevel="0" collapsed="false">
      <c r="A12" s="9"/>
      <c r="B12" s="10" t="s">
        <v>49</v>
      </c>
      <c r="C12" s="9"/>
      <c r="D12" s="9"/>
      <c r="E12" s="11" t="n">
        <f aca="false">SUM(E6:E11)</f>
        <v>3500000</v>
      </c>
      <c r="F12" s="9"/>
    </row>
    <row r="14" customFormat="false" ht="15" hidden="false" customHeight="true" outlineLevel="0" collapsed="false">
      <c r="A14" s="15" t="s">
        <v>58</v>
      </c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5" t="s">
        <v>4</v>
      </c>
      <c r="B15" s="5" t="s">
        <v>38</v>
      </c>
      <c r="C15" s="5" t="s">
        <v>39</v>
      </c>
      <c r="D15" s="5" t="s">
        <v>40</v>
      </c>
      <c r="E15" s="5" t="s">
        <v>41</v>
      </c>
      <c r="F15" s="5" t="s">
        <v>8</v>
      </c>
    </row>
    <row r="16" customFormat="false" ht="15" hidden="false" customHeight="false" outlineLevel="0" collapsed="false">
      <c r="A16" s="6" t="n">
        <v>1</v>
      </c>
      <c r="B16" s="7" t="s">
        <v>42</v>
      </c>
      <c r="C16" s="6" t="n">
        <v>12</v>
      </c>
      <c r="D16" s="8" t="n">
        <v>125000</v>
      </c>
      <c r="E16" s="8" t="n">
        <f aca="false">C16*D16</f>
        <v>1500000</v>
      </c>
      <c r="F16" s="4" t="s">
        <v>51</v>
      </c>
    </row>
    <row r="17" customFormat="false" ht="15" hidden="false" customHeight="false" outlineLevel="0" collapsed="false">
      <c r="A17" s="6" t="n">
        <v>2</v>
      </c>
      <c r="B17" s="7" t="s">
        <v>44</v>
      </c>
      <c r="C17" s="6" t="n">
        <v>4</v>
      </c>
      <c r="D17" s="8" t="n">
        <v>100000</v>
      </c>
      <c r="E17" s="8" t="n">
        <f aca="false">C17*D17</f>
        <v>400000</v>
      </c>
      <c r="F17" s="4" t="s">
        <v>45</v>
      </c>
    </row>
    <row r="18" customFormat="false" ht="15" hidden="false" customHeight="false" outlineLevel="0" collapsed="false">
      <c r="A18" s="6" t="n">
        <v>3</v>
      </c>
      <c r="B18" s="7" t="s">
        <v>16</v>
      </c>
      <c r="C18" s="6" t="n">
        <v>1</v>
      </c>
      <c r="D18" s="8" t="n">
        <v>180000</v>
      </c>
      <c r="E18" s="8" t="n">
        <f aca="false">C18*D18</f>
        <v>180000</v>
      </c>
      <c r="F18" s="4" t="s">
        <v>52</v>
      </c>
    </row>
    <row r="19" customFormat="false" ht="15" hidden="false" customHeight="false" outlineLevel="0" collapsed="false">
      <c r="A19" s="6" t="n">
        <v>4</v>
      </c>
      <c r="B19" s="7" t="s">
        <v>19</v>
      </c>
      <c r="C19" s="6" t="n">
        <v>2</v>
      </c>
      <c r="D19" s="8" t="n">
        <v>100000</v>
      </c>
      <c r="E19" s="8" t="n">
        <f aca="false">C19*D19</f>
        <v>200000</v>
      </c>
      <c r="F19" s="4" t="s">
        <v>47</v>
      </c>
    </row>
    <row r="20" customFormat="false" ht="15" hidden="false" customHeight="false" outlineLevel="0" collapsed="false">
      <c r="A20" s="6" t="n">
        <v>5</v>
      </c>
      <c r="B20" s="7" t="s">
        <v>21</v>
      </c>
      <c r="C20" s="6" t="n">
        <v>1</v>
      </c>
      <c r="D20" s="8" t="n">
        <v>130000</v>
      </c>
      <c r="E20" s="8" t="n">
        <f aca="false">C20*D20</f>
        <v>130000</v>
      </c>
      <c r="F20" s="4" t="s">
        <v>48</v>
      </c>
    </row>
    <row r="21" customFormat="false" ht="15" hidden="false" customHeight="false" outlineLevel="0" collapsed="false">
      <c r="A21" s="6" t="n">
        <v>6</v>
      </c>
      <c r="B21" s="7" t="s">
        <v>23</v>
      </c>
      <c r="C21" s="6" t="n">
        <v>1</v>
      </c>
      <c r="D21" s="8" t="n">
        <v>90000</v>
      </c>
      <c r="E21" s="8" t="n">
        <f aca="false">C21*D21</f>
        <v>90000</v>
      </c>
      <c r="F21" s="4" t="s">
        <v>24</v>
      </c>
    </row>
    <row r="22" customFormat="false" ht="15" hidden="false" customHeight="false" outlineLevel="0" collapsed="false">
      <c r="A22" s="9"/>
      <c r="B22" s="10" t="s">
        <v>53</v>
      </c>
      <c r="C22" s="9"/>
      <c r="D22" s="9"/>
      <c r="E22" s="11" t="n">
        <f aca="false">SUM(E16:E21)</f>
        <v>2500000</v>
      </c>
      <c r="F22" s="9"/>
    </row>
    <row r="24" customFormat="false" ht="15" hidden="false" customHeight="false" outlineLevel="0" collapsed="false">
      <c r="A24" s="16"/>
      <c r="B24" s="17" t="s">
        <v>59</v>
      </c>
      <c r="C24" s="6"/>
      <c r="D24" s="6"/>
      <c r="E24" s="18" t="n">
        <f aca="false">E12+E22</f>
        <v>6000000</v>
      </c>
      <c r="F24" s="6"/>
    </row>
  </sheetData>
  <mergeCells count="4">
    <mergeCell ref="A1:F1"/>
    <mergeCell ref="A2:F2"/>
    <mergeCell ref="A4:F4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2026-02-16T06:45:25Z</dcterms:created>
  <dc:creator>openpyxl</dc:creator>
  <dc:description/>
  <dc:language>en-US</dc:language>
  <cp:lastModifiedBy/>
  <dcterms:modified xsi:type="dcterms:W3CDTF">2026-02-16T06:45:25Z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