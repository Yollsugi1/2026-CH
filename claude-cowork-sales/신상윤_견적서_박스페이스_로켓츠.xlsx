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 총괄" sheetId="1" state="visible" r:id="rId3"/>
    <sheet name="단가표 (Unit Price)" sheetId="2" state="visible" r:id="rId4"/>
    <sheet name="리소스 투입 구조" sheetId="3" state="visible" r:id="rId5"/>
    <sheet name="할인 조건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<sst xmlns="http://schemas.openxmlformats.org/spreadsheetml/2006/main" count="240" uniqueCount="201">
  <si>
    <r>
      <rPr>
        <b val="true"/>
        <sz val="14"/>
        <rFont val="DejaVu Sans"/>
        <family val="2"/>
      </rPr>
      <t xml:space="preserve">신상윤 — 박스페이스 </t>
    </r>
    <r>
      <rPr>
        <b val="true"/>
        <sz val="14"/>
        <rFont val="Arial"/>
        <family val="0"/>
        <charset val="1"/>
      </rPr>
      <t xml:space="preserve">+ </t>
    </r>
    <r>
      <rPr>
        <b val="true"/>
        <sz val="14"/>
        <rFont val="DejaVu Sans"/>
        <family val="2"/>
      </rPr>
      <t xml:space="preserve">로켓츠 </t>
    </r>
    <r>
      <rPr>
        <b val="true"/>
        <sz val="14"/>
        <rFont val="Arial"/>
        <family val="0"/>
        <charset val="1"/>
      </rPr>
      <t xml:space="preserve">SNS </t>
    </r>
    <r>
      <rPr>
        <b val="true"/>
        <sz val="14"/>
        <rFont val="DejaVu Sans"/>
        <family val="2"/>
      </rPr>
      <t xml:space="preserve">대행 견적서</t>
    </r>
  </si>
  <si>
    <r>
      <rPr>
        <b val="true"/>
        <sz val="11"/>
        <color rgb="FF6B7280"/>
        <rFont val="Arial"/>
        <family val="0"/>
        <charset val="1"/>
      </rPr>
      <t xml:space="preserve">Creatorhood | 2</t>
    </r>
    <r>
      <rPr>
        <b val="true"/>
        <sz val="11"/>
        <color rgb="FF6B7280"/>
        <rFont val="DejaVu Sans"/>
        <family val="2"/>
      </rPr>
      <t xml:space="preserve">개 브랜드 </t>
    </r>
    <r>
      <rPr>
        <b val="true"/>
        <sz val="11"/>
        <color rgb="FF6B7280"/>
        <rFont val="Arial"/>
        <family val="0"/>
        <charset val="1"/>
      </rPr>
      <t xml:space="preserve">× </t>
    </r>
    <r>
      <rPr>
        <b val="true"/>
        <sz val="11"/>
        <color rgb="FF6B7280"/>
        <rFont val="DejaVu Sans"/>
        <family val="2"/>
      </rPr>
      <t xml:space="preserve">릴스 </t>
    </r>
    <r>
      <rPr>
        <b val="true"/>
        <sz val="11"/>
        <color rgb="FF6B7280"/>
        <rFont val="Arial"/>
        <family val="0"/>
        <charset val="1"/>
      </rPr>
      <t xml:space="preserve">16</t>
    </r>
    <r>
      <rPr>
        <b val="true"/>
        <sz val="11"/>
        <color rgb="FF6B7280"/>
        <rFont val="DejaVu Sans"/>
        <family val="2"/>
      </rPr>
      <t xml:space="preserve">건</t>
    </r>
    <r>
      <rPr>
        <b val="true"/>
        <sz val="11"/>
        <color rgb="FF6B7280"/>
        <rFont val="Arial"/>
        <family val="0"/>
        <charset val="1"/>
      </rPr>
      <t xml:space="preserve">/</t>
    </r>
    <r>
      <rPr>
        <b val="true"/>
        <sz val="11"/>
        <color rgb="FF6B7280"/>
        <rFont val="DejaVu Sans"/>
        <family val="2"/>
      </rPr>
      <t xml:space="preserve">월 </t>
    </r>
    <r>
      <rPr>
        <b val="true"/>
        <sz val="11"/>
        <color rgb="FF6B7280"/>
        <rFont val="Arial"/>
        <family val="0"/>
        <charset val="1"/>
      </rPr>
      <t xml:space="preserve">+ </t>
    </r>
    <r>
      <rPr>
        <b val="true"/>
        <sz val="11"/>
        <color rgb="FF6B7280"/>
        <rFont val="DejaVu Sans"/>
        <family val="2"/>
      </rPr>
      <t xml:space="preserve">인스타그램 전반 관리</t>
    </r>
  </si>
  <si>
    <t xml:space="preserve">서비스 항목</t>
  </si>
  <si>
    <r>
      <rPr>
        <b val="true"/>
        <sz val="11"/>
        <color rgb="FFFFFFFF"/>
        <rFont val="DejaVu Sans"/>
        <family val="2"/>
      </rPr>
      <t xml:space="preserve">건수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범위</t>
    </r>
  </si>
  <si>
    <r>
      <rPr>
        <b val="true"/>
        <sz val="11"/>
        <color rgb="FFFFFFFF"/>
        <rFont val="DejaVu Sans"/>
        <family val="2"/>
      </rPr>
      <t xml:space="preserve">단가 </t>
    </r>
    <r>
      <rPr>
        <b val="true"/>
        <sz val="11"/>
        <color rgb="FFFFFFFF"/>
        <rFont val="Arial"/>
        <family val="0"/>
        <charset val="1"/>
      </rPr>
      <t xml:space="preserve">(₩)</t>
    </r>
  </si>
  <si>
    <r>
      <rPr>
        <b val="true"/>
        <sz val="11"/>
        <color rgb="FFFFFFFF"/>
        <rFont val="Arial"/>
        <family val="0"/>
        <charset val="1"/>
      </rPr>
      <t xml:space="preserve">Plan A (₩500</t>
    </r>
    <r>
      <rPr>
        <b val="true"/>
        <sz val="11"/>
        <color rgb="FFFFFFFF"/>
        <rFont val="DejaVu Sans"/>
        <family val="2"/>
      </rPr>
      <t xml:space="preserve">만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</si>
  <si>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Plan B (₩750</t>
    </r>
    <r>
      <rPr>
        <b val="true"/>
        <sz val="11"/>
        <color rgb="FFFFFFFF"/>
        <rFont val="DejaVu Sans"/>
        <family val="2"/>
      </rPr>
      <t xml:space="preserve">만</t>
    </r>
    <r>
      <rPr>
        <b val="true"/>
        <sz val="11"/>
        <color rgb="FFFFFFFF"/>
        <rFont val="Arial"/>
        <family val="0"/>
        <charset val="1"/>
      </rPr>
      <t xml:space="preserve">) ⭐</t>
    </r>
  </si>
  <si>
    <r>
      <rPr>
        <b val="true"/>
        <sz val="11"/>
        <color rgb="FFFFFFFF"/>
        <rFont val="Arial"/>
        <family val="0"/>
        <charset val="1"/>
      </rPr>
      <t xml:space="preserve">Plan C (₩1,000</t>
    </r>
    <r>
      <rPr>
        <b val="true"/>
        <sz val="11"/>
        <color rgb="FFFFFFFF"/>
        <rFont val="DejaVu Sans"/>
        <family val="2"/>
      </rPr>
      <t xml:space="preserve">만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</si>
  <si>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📹 촬영 동반 릴스 </t>
    </r>
    <r>
      <rPr>
        <sz val="10"/>
        <rFont val="Arial"/>
        <family val="0"/>
        <charset val="1"/>
      </rPr>
      <t xml:space="preserve">(Standard)</t>
    </r>
  </si>
  <si>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</si>
  <si>
    <t xml:space="preserve">  → 촬영 동반 릴스 소계</t>
  </si>
  <si>
    <r>
      <rPr>
        <sz val="10"/>
        <rFont val="DejaVu Sans"/>
        <family val="2"/>
      </rPr>
      <t xml:space="preserve">🎨 소스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그래픽 기반 릴스 </t>
    </r>
    <r>
      <rPr>
        <sz val="10"/>
        <rFont val="Arial"/>
        <family val="0"/>
        <charset val="1"/>
      </rPr>
      <t xml:space="preserve">(Simple)</t>
    </r>
  </si>
  <si>
    <r>
      <rPr>
        <b val="true"/>
        <sz val="10"/>
        <rFont val="DejaVu Sans"/>
        <family val="2"/>
      </rPr>
      <t xml:space="preserve">  → 소스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그래픽 릴스 소계</t>
    </r>
  </si>
  <si>
    <r>
      <rPr>
        <b val="true"/>
        <sz val="10"/>
        <color rgb="FF1E40AF"/>
        <rFont val="DejaVu Sans"/>
        <family val="2"/>
      </rPr>
      <t xml:space="preserve">🎬 콘텐츠 제작 소계 </t>
    </r>
    <r>
      <rPr>
        <b val="true"/>
        <sz val="10"/>
        <color rgb="FF1E40AF"/>
        <rFont val="Arial"/>
        <family val="0"/>
        <charset val="1"/>
      </rPr>
      <t xml:space="preserve">(32</t>
    </r>
    <r>
      <rPr>
        <b val="true"/>
        <sz val="10"/>
        <color rgb="FF1E40AF"/>
        <rFont val="DejaVu Sans"/>
        <family val="2"/>
      </rPr>
      <t xml:space="preserve">건</t>
    </r>
    <r>
      <rPr>
        <b val="true"/>
        <sz val="10"/>
        <color rgb="FF1E40AF"/>
        <rFont val="Arial"/>
        <family val="0"/>
        <charset val="1"/>
      </rPr>
      <t xml:space="preserve">)</t>
    </r>
  </si>
  <si>
    <r>
      <rPr>
        <b val="true"/>
        <sz val="10"/>
        <color rgb="FF1E40AF"/>
        <rFont val="Arial"/>
        <family val="0"/>
        <charset val="1"/>
      </rPr>
      <t xml:space="preserve">32</t>
    </r>
    <r>
      <rPr>
        <b val="true"/>
        <sz val="10"/>
        <color rgb="FF1E40AF"/>
        <rFont val="DejaVu Sans"/>
        <family val="2"/>
      </rPr>
      <t xml:space="preserve">건</t>
    </r>
    <r>
      <rPr>
        <b val="true"/>
        <sz val="10"/>
        <color rgb="FF1E40AF"/>
        <rFont val="Arial"/>
        <family val="0"/>
        <charset val="1"/>
      </rPr>
      <t xml:space="preserve">/</t>
    </r>
    <r>
      <rPr>
        <b val="true"/>
        <sz val="10"/>
        <color rgb="FF1E40AF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</si>
  <si>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📱 인스타그램 관리 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채널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</si>
  <si>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채널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</si>
  <si>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💬 커뮤니티 관리 </t>
    </r>
    <r>
      <rPr>
        <sz val="10"/>
        <rFont val="Arial"/>
        <family val="0"/>
        <charset val="1"/>
      </rPr>
      <t xml:space="preserve">(DM/</t>
    </r>
    <r>
      <rPr>
        <sz val="10"/>
        <rFont val="DejaVu Sans"/>
        <family val="2"/>
      </rPr>
      <t xml:space="preserve">댓글</t>
    </r>
    <r>
      <rPr>
        <sz val="10"/>
        <rFont val="Arial"/>
        <family val="0"/>
        <charset val="1"/>
      </rPr>
      <t xml:space="preserve">)</t>
    </r>
  </si>
  <si>
    <t xml:space="preserve">📊 콘텐츠 전략 수립</t>
  </si>
  <si>
    <t xml:space="preserve">월간</t>
  </si>
  <si>
    <r>
      <rPr>
        <sz val="10"/>
        <rFont val="Arial"/>
        <family val="0"/>
        <charset val="1"/>
      </rPr>
      <t xml:space="preserve">🎯 SNS </t>
    </r>
    <r>
      <rPr>
        <sz val="10"/>
        <rFont val="DejaVu Sans"/>
        <family val="2"/>
      </rPr>
      <t xml:space="preserve">브랜딩 방향 설계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</si>
  <si>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채널</t>
    </r>
  </si>
  <si>
    <r>
      <rPr>
        <sz val="10"/>
        <rFont val="DejaVu Sans"/>
        <family val="2"/>
      </rPr>
      <t xml:space="preserve">🖌️ 디자인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피드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썸네일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하이라이트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</si>
  <si>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👥 크리에이터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에디터 디렉팅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관리</t>
    </r>
  </si>
  <si>
    <r>
      <rPr>
        <sz val="10"/>
        <rFont val="DejaVu Sans"/>
        <family val="2"/>
      </rPr>
      <t xml:space="preserve">📈 퍼포먼스 리포트 </t>
    </r>
    <r>
      <rPr>
        <sz val="10"/>
        <rFont val="Arial"/>
        <family val="0"/>
        <charset val="1"/>
      </rPr>
      <t xml:space="preserve">&amp; </t>
    </r>
    <r>
      <rPr>
        <sz val="10"/>
        <rFont val="DejaVu Sans"/>
        <family val="2"/>
      </rPr>
      <t xml:space="preserve">전략 미팅</t>
    </r>
  </si>
  <si>
    <r>
      <rPr>
        <sz val="10"/>
        <rFont val="DejaVu Sans"/>
        <family val="2"/>
      </rPr>
      <t xml:space="preserve">🏆 전담 크리에이터 고정 배치 </t>
    </r>
    <r>
      <rPr>
        <sz val="10"/>
        <rFont val="Arial"/>
        <family val="0"/>
        <charset val="1"/>
      </rPr>
      <t xml:space="preserve">(Premium)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</si>
  <si>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명</t>
    </r>
  </si>
  <si>
    <r>
      <rPr>
        <sz val="10"/>
        <rFont val="DejaVu Sans"/>
        <family val="2"/>
      </rPr>
      <t xml:space="preserve">🔄 채널 전체 리뉴얼 </t>
    </r>
    <r>
      <rPr>
        <sz val="10"/>
        <rFont val="Arial"/>
        <family val="0"/>
        <charset val="1"/>
      </rPr>
      <t xml:space="preserve">(Premium)</t>
    </r>
  </si>
  <si>
    <r>
      <rPr>
        <sz val="10"/>
        <rFont val="DejaVu Sans"/>
        <family val="2"/>
      </rPr>
      <t xml:space="preserve">📋 채널 성장 컨설팅 </t>
    </r>
    <r>
      <rPr>
        <sz val="10"/>
        <rFont val="Arial"/>
        <family val="0"/>
        <charset val="1"/>
      </rPr>
      <t xml:space="preserve">(KPI/</t>
    </r>
    <r>
      <rPr>
        <sz val="10"/>
        <rFont val="DejaVu Sans"/>
        <family val="2"/>
      </rPr>
      <t xml:space="preserve">광고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</si>
  <si>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합계 </t>
    </r>
    <r>
      <rPr>
        <b val="true"/>
        <sz val="10"/>
        <rFont val="Arial"/>
        <family val="0"/>
        <charset val="1"/>
      </rPr>
      <t xml:space="preserve">(à la carte </t>
    </r>
    <r>
      <rPr>
        <b val="true"/>
        <sz val="10"/>
        <rFont val="DejaVu Sans"/>
        <family val="2"/>
      </rPr>
      <t xml:space="preserve">기준</t>
    </r>
    <r>
      <rPr>
        <b val="true"/>
        <sz val="10"/>
        <rFont val="Arial"/>
        <family val="0"/>
        <charset val="1"/>
      </rPr>
      <t xml:space="preserve">)</t>
    </r>
  </si>
  <si>
    <t xml:space="preserve">패키지 할인</t>
  </si>
  <si>
    <t xml:space="preserve">월 투자 금액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</si>
  <si>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DejaVu Sans"/>
        <family val="2"/>
      </rPr>
      <t xml:space="preserve">개월 파일럿 총액</t>
    </r>
  </si>
  <si>
    <t xml:space="preserve">Essential</t>
  </si>
  <si>
    <r>
      <rPr>
        <b val="true"/>
        <sz val="9"/>
        <color rgb="FFD97706"/>
        <rFont val="Arial"/>
        <family val="0"/>
        <charset val="1"/>
      </rPr>
      <t xml:space="preserve">⭐ Standard (</t>
    </r>
    <r>
      <rPr>
        <b val="true"/>
        <sz val="9"/>
        <color rgb="FFD97706"/>
        <rFont val="DejaVu Sans"/>
        <family val="2"/>
      </rPr>
      <t xml:space="preserve">추천</t>
    </r>
    <r>
      <rPr>
        <b val="true"/>
        <sz val="9"/>
        <color rgb="FFD97706"/>
        <rFont val="Arial"/>
        <family val="0"/>
        <charset val="1"/>
      </rPr>
      <t xml:space="preserve">)</t>
    </r>
  </si>
  <si>
    <t xml:space="preserve">Premium</t>
  </si>
  <si>
    <r>
      <rPr>
        <b val="true"/>
        <sz val="10"/>
        <rFont val="DejaVu Sans"/>
        <family val="2"/>
      </rPr>
      <t xml:space="preserve">📌 릴스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건당 평균 단가</t>
    </r>
  </si>
  <si>
    <t xml:space="preserve">📌 전체 서비스 포함 건당 단가</t>
  </si>
  <si>
    <t xml:space="preserve">크리에이터후드 서비스 단가표</t>
  </si>
  <si>
    <t xml:space="preserve">단위</t>
  </si>
  <si>
    <t xml:space="preserve">비고</t>
  </si>
  <si>
    <t xml:space="preserve">적용 기준</t>
  </si>
  <si>
    <r>
      <rPr>
        <b val="true"/>
        <sz val="10"/>
        <color rgb="FF1E40AF"/>
        <rFont val="Arial"/>
        <family val="0"/>
        <charset val="1"/>
      </rPr>
      <t xml:space="preserve">[ </t>
    </r>
    <r>
      <rPr>
        <b val="true"/>
        <sz val="10"/>
        <color rgb="FF1E40AF"/>
        <rFont val="DejaVu Sans"/>
        <family val="2"/>
      </rPr>
      <t xml:space="preserve">영상 제작 </t>
    </r>
    <r>
      <rPr>
        <b val="true"/>
        <sz val="10"/>
        <color rgb="FF1E40AF"/>
        <rFont val="Arial"/>
        <family val="0"/>
        <charset val="1"/>
      </rPr>
      <t xml:space="preserve">]</t>
    </r>
  </si>
  <si>
    <r>
      <rPr>
        <sz val="10"/>
        <rFont val="DejaVu Sans"/>
        <family val="2"/>
      </rPr>
      <t xml:space="preserve">릴스 — </t>
    </r>
    <r>
      <rPr>
        <sz val="10"/>
        <rFont val="Arial"/>
        <family val="0"/>
        <charset val="1"/>
      </rPr>
      <t xml:space="preserve">Simple (</t>
    </r>
    <r>
      <rPr>
        <sz val="10"/>
        <rFont val="DejaVu Sans"/>
        <family val="2"/>
      </rPr>
      <t xml:space="preserve">소스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그래픽 편집</t>
    </r>
    <r>
      <rPr>
        <sz val="10"/>
        <rFont val="Arial"/>
        <family val="0"/>
        <charset val="1"/>
      </rPr>
      <t xml:space="preserve">)</t>
    </r>
  </si>
  <si>
    <t xml:space="preserve">건</t>
  </si>
  <si>
    <r>
      <rPr>
        <sz val="10"/>
        <rFont val="DejaVu Sans"/>
        <family val="2"/>
      </rPr>
      <t xml:space="preserve">단순 편집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텍스트 오버레이</t>
    </r>
  </si>
  <si>
    <t xml:space="preserve">소스 제공 시</t>
  </si>
  <si>
    <r>
      <rPr>
        <sz val="10"/>
        <rFont val="DejaVu Sans"/>
        <family val="2"/>
      </rPr>
      <t xml:space="preserve">릴스 — </t>
    </r>
    <r>
      <rPr>
        <sz val="10"/>
        <rFont val="Arial"/>
        <family val="0"/>
        <charset val="1"/>
      </rPr>
      <t xml:space="preserve">Standard (</t>
    </r>
    <r>
      <rPr>
        <sz val="10"/>
        <rFont val="DejaVu Sans"/>
        <family val="2"/>
      </rPr>
      <t xml:space="preserve">촬영 동반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</si>
  <si>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현장 촬영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편집</t>
    </r>
  </si>
  <si>
    <t xml:space="preserve">반일 촬영 기준</t>
  </si>
  <si>
    <r>
      <rPr>
        <sz val="10"/>
        <rFont val="DejaVu Sans"/>
        <family val="2"/>
      </rPr>
      <t xml:space="preserve">릴스 — </t>
    </r>
    <r>
      <rPr>
        <sz val="10"/>
        <rFont val="Arial"/>
        <family val="0"/>
        <charset val="1"/>
      </rPr>
      <t xml:space="preserve">Premium (</t>
    </r>
    <r>
      <rPr>
        <sz val="10"/>
        <rFont val="DejaVu Sans"/>
        <family val="2"/>
      </rPr>
      <t xml:space="preserve">시네마틱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</si>
  <si>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아트 디렉션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고퀄 촬영</t>
    </r>
  </si>
  <si>
    <t xml:space="preserve">풀데이 촬영</t>
  </si>
  <si>
    <r>
      <rPr>
        <sz val="10"/>
        <rFont val="DejaVu Sans"/>
        <family val="2"/>
      </rPr>
      <t xml:space="preserve">롱폼 </t>
    </r>
    <r>
      <rPr>
        <sz val="10"/>
        <rFont val="Arial"/>
        <family val="0"/>
        <charset val="1"/>
      </rPr>
      <t xml:space="preserve">3~5</t>
    </r>
    <r>
      <rPr>
        <sz val="10"/>
        <rFont val="DejaVu Sans"/>
        <family val="2"/>
      </rPr>
      <t xml:space="preserve">분</t>
    </r>
  </si>
  <si>
    <r>
      <rPr>
        <sz val="10"/>
        <rFont val="DejaVu Sans"/>
        <family val="2"/>
      </rPr>
      <t xml:space="preserve">풀데이 촬영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후반작업</t>
    </r>
  </si>
  <si>
    <r>
      <rPr>
        <sz val="10"/>
        <rFont val="DejaVu Sans"/>
        <family val="2"/>
      </rPr>
      <t xml:space="preserve">인터뷰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다큐</t>
    </r>
  </si>
  <si>
    <r>
      <rPr>
        <sz val="10"/>
        <rFont val="DejaVu Sans"/>
        <family val="2"/>
      </rPr>
      <t xml:space="preserve">롱폼 </t>
    </r>
    <r>
      <rPr>
        <sz val="10"/>
        <rFont val="Arial"/>
        <family val="0"/>
        <charset val="1"/>
      </rPr>
      <t xml:space="preserve">5~10</t>
    </r>
    <r>
      <rPr>
        <sz val="10"/>
        <rFont val="DejaVu Sans"/>
        <family val="2"/>
      </rPr>
      <t xml:space="preserve">분</t>
    </r>
  </si>
  <si>
    <r>
      <rPr>
        <sz val="10"/>
        <rFont val="Arial"/>
        <family val="0"/>
        <charset val="1"/>
      </rPr>
      <t xml:space="preserve">1~2</t>
    </r>
    <r>
      <rPr>
        <sz val="10"/>
        <rFont val="DejaVu Sans"/>
        <family val="2"/>
      </rPr>
      <t xml:space="preserve">일 촬영</t>
    </r>
  </si>
  <si>
    <t xml:space="preserve">다큐 시리즈</t>
  </si>
  <si>
    <r>
      <rPr>
        <b val="true"/>
        <sz val="10"/>
        <color rgb="FF1E40AF"/>
        <rFont val="Arial"/>
        <family val="0"/>
        <charset val="1"/>
      </rPr>
      <t xml:space="preserve">[ SNS </t>
    </r>
    <r>
      <rPr>
        <b val="true"/>
        <sz val="10"/>
        <color rgb="FF1E40AF"/>
        <rFont val="DejaVu Sans"/>
        <family val="2"/>
      </rPr>
      <t xml:space="preserve">관리 </t>
    </r>
    <r>
      <rPr>
        <b val="true"/>
        <sz val="10"/>
        <color rgb="FF1E40AF"/>
        <rFont val="Arial"/>
        <family val="0"/>
        <charset val="1"/>
      </rPr>
      <t xml:space="preserve">]</t>
    </r>
  </si>
  <si>
    <r>
      <rPr>
        <sz val="10"/>
        <rFont val="DejaVu Sans"/>
        <family val="2"/>
      </rPr>
      <t xml:space="preserve">인스타그램 관리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단일 채널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</si>
  <si>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채널</t>
    </r>
  </si>
  <si>
    <r>
      <rPr>
        <sz val="10"/>
        <rFont val="DejaVu Sans"/>
        <family val="2"/>
      </rPr>
      <t xml:space="preserve">게시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스케줄링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기본 커뮤니티</t>
    </r>
  </si>
  <si>
    <r>
      <rPr>
        <sz val="10"/>
        <rFont val="Arial"/>
        <family val="0"/>
        <charset val="1"/>
      </rPr>
      <t xml:space="preserve">12~15 </t>
    </r>
    <r>
      <rPr>
        <sz val="10"/>
        <rFont val="DejaVu Sans"/>
        <family val="2"/>
      </rPr>
      <t xml:space="preserve">게시물 기준</t>
    </r>
  </si>
  <si>
    <r>
      <rPr>
        <sz val="10"/>
        <rFont val="DejaVu Sans"/>
        <family val="2"/>
      </rPr>
      <t xml:space="preserve">인스타그램 관리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멀티 채널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</si>
  <si>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채널 이상 시 채널당</t>
    </r>
  </si>
  <si>
    <t xml:space="preserve">볼륨 할인 적용</t>
  </si>
  <si>
    <t xml:space="preserve">프리미엄 커뮤니티 관리</t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</si>
  <si>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시간 내 응답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맞춤 </t>
    </r>
    <r>
      <rPr>
        <sz val="10"/>
        <rFont val="Arial"/>
        <family val="0"/>
        <charset val="1"/>
      </rPr>
      <t xml:space="preserve">DM</t>
    </r>
  </si>
  <si>
    <t xml:space="preserve">기본 관리 외 추가</t>
  </si>
  <si>
    <t xml:space="preserve">캡션 작성</t>
  </si>
  <si>
    <r>
      <rPr>
        <sz val="10"/>
        <rFont val="DejaVu Sans"/>
        <family val="2"/>
      </rPr>
      <t xml:space="preserve">해시태그</t>
    </r>
    <r>
      <rPr>
        <sz val="10"/>
        <rFont val="Arial"/>
        <family val="0"/>
        <charset val="1"/>
      </rPr>
      <t xml:space="preserve">/CTA </t>
    </r>
    <r>
      <rPr>
        <sz val="10"/>
        <rFont val="DejaVu Sans"/>
        <family val="2"/>
      </rPr>
      <t xml:space="preserve">포함</t>
    </r>
  </si>
  <si>
    <t xml:space="preserve">리테이너 시 포함</t>
  </si>
  <si>
    <t xml:space="preserve">스토리 시리즈</t>
  </si>
  <si>
    <t xml:space="preserve">시리즈</t>
  </si>
  <si>
    <r>
      <rPr>
        <sz val="10"/>
        <rFont val="Arial"/>
        <family val="0"/>
        <charset val="1"/>
      </rPr>
      <t xml:space="preserve">5~10</t>
    </r>
    <r>
      <rPr>
        <sz val="10"/>
        <rFont val="DejaVu Sans"/>
        <family val="2"/>
      </rPr>
      <t xml:space="preserve">개 스토리</t>
    </r>
  </si>
  <si>
    <t xml:space="preserve">인터랙티브 요소 포함</t>
  </si>
  <si>
    <r>
      <rPr>
        <b val="true"/>
        <sz val="10"/>
        <color rgb="FF1E40AF"/>
        <rFont val="Arial"/>
        <family val="0"/>
        <charset val="1"/>
      </rPr>
      <t xml:space="preserve">[ </t>
    </r>
    <r>
      <rPr>
        <b val="true"/>
        <sz val="10"/>
        <color rgb="FF1E40AF"/>
        <rFont val="DejaVu Sans"/>
        <family val="2"/>
      </rPr>
      <t xml:space="preserve">전략 </t>
    </r>
    <r>
      <rPr>
        <b val="true"/>
        <sz val="10"/>
        <color rgb="FF1E40AF"/>
        <rFont val="Arial"/>
        <family val="0"/>
        <charset val="1"/>
      </rPr>
      <t xml:space="preserve">&amp; </t>
    </r>
    <r>
      <rPr>
        <b val="true"/>
        <sz val="10"/>
        <color rgb="FF1E40AF"/>
        <rFont val="DejaVu Sans"/>
        <family val="2"/>
      </rPr>
      <t xml:space="preserve">기획 </t>
    </r>
    <r>
      <rPr>
        <b val="true"/>
        <sz val="10"/>
        <color rgb="FF1E40AF"/>
        <rFont val="Arial"/>
        <family val="0"/>
        <charset val="1"/>
      </rPr>
      <t xml:space="preserve">]</t>
    </r>
  </si>
  <si>
    <t xml:space="preserve">콘텐츠 전략 수립</t>
  </si>
  <si>
    <t xml:space="preserve">월</t>
  </si>
  <si>
    <r>
      <rPr>
        <sz val="10"/>
        <rFont val="DejaVu Sans"/>
        <family val="2"/>
      </rPr>
      <t xml:space="preserve">전략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캘린더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시리즈 기획</t>
    </r>
  </si>
  <si>
    <t xml:space="preserve">채널 전체</t>
  </si>
  <si>
    <r>
      <rPr>
        <sz val="10"/>
        <rFont val="Arial"/>
        <family val="0"/>
        <charset val="1"/>
      </rPr>
      <t xml:space="preserve">SNS </t>
    </r>
    <r>
      <rPr>
        <sz val="10"/>
        <rFont val="DejaVu Sans"/>
        <family val="2"/>
      </rPr>
      <t xml:space="preserve">브랜딩 방향 설계</t>
    </r>
  </si>
  <si>
    <t xml:space="preserve">채널</t>
  </si>
  <si>
    <r>
      <rPr>
        <sz val="10"/>
        <rFont val="DejaVu Sans"/>
        <family val="2"/>
      </rPr>
      <t xml:space="preserve">비주얼 시스템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톤앤매너</t>
    </r>
  </si>
  <si>
    <t xml:space="preserve">초기 셋업</t>
  </si>
  <si>
    <t xml:space="preserve">시리즈 개발</t>
  </si>
  <si>
    <r>
      <rPr>
        <sz val="10"/>
        <rFont val="Arial"/>
        <family val="0"/>
        <charset val="1"/>
      </rPr>
      <t xml:space="preserve">8~12</t>
    </r>
    <r>
      <rPr>
        <sz val="10"/>
        <rFont val="DejaVu Sans"/>
        <family val="2"/>
      </rPr>
      <t xml:space="preserve">화 시즌 기획</t>
    </r>
  </si>
  <si>
    <t xml:space="preserve">론칭 전략 포함</t>
  </si>
  <si>
    <t xml:space="preserve">캠페인 기획</t>
  </si>
  <si>
    <t xml:space="preserve">캠페인</t>
  </si>
  <si>
    <r>
      <rPr>
        <sz val="10"/>
        <rFont val="DejaVu Sans"/>
        <family val="2"/>
      </rPr>
      <t xml:space="preserve">컨셉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타임라인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실행 계획</t>
    </r>
  </si>
  <si>
    <t xml:space="preserve">단일 캠페인</t>
  </si>
  <si>
    <r>
      <rPr>
        <b val="true"/>
        <sz val="10"/>
        <color rgb="FF1E40AF"/>
        <rFont val="Arial"/>
        <family val="0"/>
        <charset val="1"/>
      </rPr>
      <t xml:space="preserve">[ </t>
    </r>
    <r>
      <rPr>
        <b val="true"/>
        <sz val="10"/>
        <color rgb="FF1E40AF"/>
        <rFont val="DejaVu Sans"/>
        <family val="2"/>
      </rPr>
      <t xml:space="preserve">디자인 </t>
    </r>
    <r>
      <rPr>
        <b val="true"/>
        <sz val="10"/>
        <color rgb="FF1E40AF"/>
        <rFont val="Arial"/>
        <family val="0"/>
        <charset val="1"/>
      </rPr>
      <t xml:space="preserve">]</t>
    </r>
  </si>
  <si>
    <r>
      <rPr>
        <sz val="10"/>
        <rFont val="DejaVu Sans"/>
        <family val="2"/>
      </rPr>
      <t xml:space="preserve">소셜 그래픽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개별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</si>
  <si>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피드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스토리 그래픽</t>
    </r>
  </si>
  <si>
    <t xml:space="preserve">맞춤 디자인</t>
  </si>
  <si>
    <t xml:space="preserve">월간 디자인 지원</t>
  </si>
  <si>
    <r>
      <rPr>
        <sz val="10"/>
        <rFont val="Arial"/>
        <family val="0"/>
        <charset val="1"/>
      </rPr>
      <t xml:space="preserve">10~15</t>
    </r>
    <r>
      <rPr>
        <sz val="10"/>
        <rFont val="DejaVu Sans"/>
        <family val="2"/>
      </rPr>
      <t xml:space="preserve">건 그래픽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유지보수</t>
    </r>
  </si>
  <si>
    <t xml:space="preserve">템플릿 포함</t>
  </si>
  <si>
    <t xml:space="preserve">템플릿 시스템 구축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</si>
  <si>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</t>
    </r>
  </si>
  <si>
    <r>
      <rPr>
        <sz val="10"/>
        <rFont val="DejaVu Sans"/>
        <family val="2"/>
      </rPr>
      <t xml:space="preserve">피드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스토리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하이라이트 세트</t>
    </r>
  </si>
  <si>
    <t xml:space="preserve">편집 가능 파일</t>
  </si>
  <si>
    <t xml:space="preserve">채널 전체 리뉴얼</t>
  </si>
  <si>
    <r>
      <rPr>
        <sz val="10"/>
        <rFont val="DejaVu Sans"/>
        <family val="2"/>
      </rPr>
      <t xml:space="preserve">프로필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하이라이트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피드 정비</t>
    </r>
  </si>
  <si>
    <r>
      <rPr>
        <sz val="10"/>
        <rFont val="DejaVu Sans"/>
        <family val="2"/>
      </rPr>
      <t xml:space="preserve">초기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</t>
    </r>
  </si>
  <si>
    <r>
      <rPr>
        <b val="true"/>
        <sz val="10"/>
        <color rgb="FF1E40AF"/>
        <rFont val="Arial"/>
        <family val="0"/>
        <charset val="1"/>
      </rPr>
      <t xml:space="preserve">[ </t>
    </r>
    <r>
      <rPr>
        <b val="true"/>
        <sz val="10"/>
        <color rgb="FF1E40AF"/>
        <rFont val="DejaVu Sans"/>
        <family val="2"/>
      </rPr>
      <t xml:space="preserve">추가 서비스 </t>
    </r>
    <r>
      <rPr>
        <b val="true"/>
        <sz val="10"/>
        <color rgb="FF1E40AF"/>
        <rFont val="Arial"/>
        <family val="0"/>
        <charset val="1"/>
      </rPr>
      <t xml:space="preserve">]</t>
    </r>
  </si>
  <si>
    <r>
      <rPr>
        <sz val="10"/>
        <rFont val="DejaVu Sans"/>
        <family val="2"/>
      </rPr>
      <t xml:space="preserve">크리에이터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에디터 디렉팅</t>
    </r>
  </si>
  <si>
    <r>
      <rPr>
        <sz val="10"/>
        <rFont val="DejaVu Sans"/>
        <family val="2"/>
      </rPr>
      <t xml:space="preserve">외부 인력 관리 </t>
    </r>
    <r>
      <rPr>
        <sz val="10"/>
        <rFont val="Arial"/>
        <family val="0"/>
        <charset val="1"/>
      </rPr>
      <t xml:space="preserve">+ QC</t>
    </r>
  </si>
  <si>
    <t xml:space="preserve">팀 운영 시</t>
  </si>
  <si>
    <r>
      <rPr>
        <sz val="10"/>
        <rFont val="DejaVu Sans"/>
        <family val="2"/>
      </rPr>
      <t xml:space="preserve">퍼포먼스 리포트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기본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</si>
  <si>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월간 성과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인사이트</t>
    </r>
  </si>
  <si>
    <t xml:space="preserve">기본 분석</t>
  </si>
  <si>
    <r>
      <rPr>
        <sz val="10"/>
        <rFont val="DejaVu Sans"/>
        <family val="2"/>
      </rPr>
      <t xml:space="preserve">퍼포먼스 리포트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고급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</si>
  <si>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대시보드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경쟁 벤치마킹</t>
    </r>
  </si>
  <si>
    <t xml:space="preserve">실시간 트래킹</t>
  </si>
  <si>
    <t xml:space="preserve">유료 광고 관리</t>
  </si>
  <si>
    <r>
      <rPr>
        <sz val="10"/>
        <rFont val="DejaVu Sans"/>
        <family val="2"/>
      </rPr>
      <t xml:space="preserve">광고비의 </t>
    </r>
    <r>
      <rPr>
        <sz val="10"/>
        <rFont val="Arial"/>
        <family val="0"/>
        <charset val="1"/>
      </rPr>
      <t xml:space="preserve">15~20%</t>
    </r>
  </si>
  <si>
    <r>
      <rPr>
        <sz val="10"/>
        <rFont val="Arial"/>
        <family val="0"/>
        <charset val="1"/>
      </rPr>
      <t xml:space="preserve">Meta </t>
    </r>
    <r>
      <rPr>
        <sz val="10"/>
        <rFont val="DejaVu Sans"/>
        <family val="2"/>
      </rPr>
      <t xml:space="preserve">광고 운영</t>
    </r>
  </si>
  <si>
    <r>
      <rPr>
        <sz val="10"/>
        <rFont val="DejaVu Sans"/>
        <family val="2"/>
      </rPr>
      <t xml:space="preserve">최소 ₩</t>
    </r>
    <r>
      <rPr>
        <sz val="10"/>
        <rFont val="Arial"/>
        <family val="0"/>
        <charset val="1"/>
      </rPr>
      <t xml:space="preserve">500,000</t>
    </r>
  </si>
  <si>
    <t xml:space="preserve">전담 크리에이터 배치</t>
  </si>
  <si>
    <r>
      <rPr>
        <sz val="10"/>
        <rFont val="DejaVu Sans"/>
        <family val="2"/>
      </rPr>
      <t xml:space="preserve">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명</t>
    </r>
  </si>
  <si>
    <r>
      <rPr>
        <sz val="10"/>
        <rFont val="DejaVu Sans"/>
        <family val="2"/>
      </rPr>
      <t xml:space="preserve">전문 촬영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편집 인력 고정</t>
    </r>
  </si>
  <si>
    <r>
      <rPr>
        <sz val="10"/>
        <rFont val="Arial"/>
        <family val="0"/>
        <charset val="1"/>
      </rPr>
      <t xml:space="preserve">Premium </t>
    </r>
    <r>
      <rPr>
        <sz val="10"/>
        <rFont val="DejaVu Sans"/>
        <family val="2"/>
      </rPr>
      <t xml:space="preserve">옵션</t>
    </r>
  </si>
  <si>
    <t xml:space="preserve">채널 성장 컨설팅</t>
  </si>
  <si>
    <r>
      <rPr>
        <sz val="10"/>
        <rFont val="Arial"/>
        <family val="0"/>
        <charset val="1"/>
      </rPr>
      <t xml:space="preserve">KPI </t>
    </r>
    <r>
      <rPr>
        <sz val="10"/>
        <rFont val="DejaVu Sans"/>
        <family val="2"/>
      </rPr>
      <t xml:space="preserve">설정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광고 전략</t>
    </r>
  </si>
  <si>
    <r>
      <rPr>
        <b val="true"/>
        <sz val="14"/>
        <rFont val="DejaVu Sans"/>
        <family val="2"/>
      </rPr>
      <t xml:space="preserve">주간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DejaVu Sans"/>
        <family val="2"/>
      </rPr>
      <t xml:space="preserve">월간 리소스 투입 구조</t>
    </r>
  </si>
  <si>
    <t xml:space="preserve">항목</t>
  </si>
  <si>
    <t xml:space="preserve">Plan A</t>
  </si>
  <si>
    <t xml:space="preserve">Plan B</t>
  </si>
  <si>
    <t xml:space="preserve">Plan C</t>
  </si>
  <si>
    <t xml:space="preserve">주간 촬영일</t>
  </si>
  <si>
    <r>
      <rPr>
        <sz val="10"/>
        <rFont val="Arial"/>
        <family val="0"/>
        <charset val="1"/>
      </rPr>
      <t xml:space="preserve">~1</t>
    </r>
    <r>
      <rPr>
        <sz val="10"/>
        <rFont val="DejaVu Sans"/>
        <family val="2"/>
      </rPr>
      <t xml:space="preserve">일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</si>
  <si>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일</t>
    </r>
  </si>
  <si>
    <r>
      <rPr>
        <sz val="10"/>
        <rFont val="Arial"/>
        <family val="0"/>
        <charset val="1"/>
      </rPr>
      <t xml:space="preserve">2~3</t>
    </r>
    <r>
      <rPr>
        <sz val="10"/>
        <rFont val="DejaVu Sans"/>
        <family val="2"/>
      </rPr>
      <t xml:space="preserve">일</t>
    </r>
  </si>
  <si>
    <r>
      <rPr>
        <sz val="10"/>
        <rFont val="DejaVu Sans"/>
        <family val="2"/>
      </rPr>
      <t xml:space="preserve">브랜드당 주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 기준</t>
    </r>
  </si>
  <si>
    <t xml:space="preserve">월간 촬영 횟수</t>
  </si>
  <si>
    <r>
      <rPr>
        <sz val="10"/>
        <rFont val="Arial"/>
        <family val="0"/>
        <charset val="1"/>
      </rPr>
      <t xml:space="preserve">4~6</t>
    </r>
    <r>
      <rPr>
        <sz val="10"/>
        <rFont val="DejaVu Sans"/>
        <family val="2"/>
      </rPr>
      <t xml:space="preserve">회</t>
    </r>
  </si>
  <si>
    <r>
      <rPr>
        <sz val="10"/>
        <rFont val="Arial"/>
        <family val="0"/>
        <charset val="1"/>
      </rPr>
      <t xml:space="preserve">8~10</t>
    </r>
    <r>
      <rPr>
        <sz val="10"/>
        <rFont val="DejaVu Sans"/>
        <family val="2"/>
      </rPr>
      <t xml:space="preserve">회</t>
    </r>
  </si>
  <si>
    <r>
      <rPr>
        <sz val="10"/>
        <rFont val="Arial"/>
        <family val="0"/>
        <charset val="1"/>
      </rPr>
      <t xml:space="preserve">10~14</t>
    </r>
    <r>
      <rPr>
        <sz val="10"/>
        <rFont val="DejaVu Sans"/>
        <family val="2"/>
      </rPr>
      <t xml:space="preserve">회</t>
    </r>
  </si>
  <si>
    <t xml:space="preserve">촬영 동반 릴스</t>
  </si>
  <si>
    <r>
      <rPr>
        <sz val="10"/>
        <rFont val="Arial"/>
        <family val="0"/>
        <charset val="1"/>
      </rPr>
      <t xml:space="preserve">4~6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</si>
  <si>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8~10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</si>
  <si>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12~16</t>
    </r>
    <r>
      <rPr>
        <sz val="10"/>
        <rFont val="DejaVu Sans"/>
        <family val="2"/>
      </rPr>
      <t xml:space="preserve">건</t>
    </r>
  </si>
  <si>
    <r>
      <rPr>
        <sz val="10"/>
        <rFont val="DejaVu Sans"/>
        <family val="2"/>
      </rPr>
      <t xml:space="preserve">소스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그래픽 릴스</t>
    </r>
  </si>
  <si>
    <r>
      <rPr>
        <sz val="10"/>
        <rFont val="Arial"/>
        <family val="0"/>
        <charset val="1"/>
      </rPr>
      <t xml:space="preserve">26~28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</si>
  <si>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22~24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</si>
  <si>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16~20</t>
    </r>
    <r>
      <rPr>
        <sz val="10"/>
        <rFont val="DejaVu Sans"/>
        <family val="2"/>
      </rPr>
      <t xml:space="preserve">건</t>
    </r>
  </si>
  <si>
    <t xml:space="preserve">총 릴스</t>
  </si>
  <si>
    <r>
      <rPr>
        <sz val="10"/>
        <rFont val="Arial"/>
        <family val="0"/>
        <charset val="1"/>
      </rPr>
      <t xml:space="preserve">32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</si>
  <si>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채널 합산</t>
    </r>
  </si>
  <si>
    <r>
      <rPr>
        <sz val="10"/>
        <rFont val="DejaVu Sans"/>
        <family val="2"/>
      </rPr>
      <t xml:space="preserve">에디터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편집자</t>
    </r>
  </si>
  <si>
    <r>
      <rPr>
        <sz val="10"/>
        <rFont val="Arial"/>
        <family val="0"/>
        <charset val="1"/>
      </rPr>
      <t xml:space="preserve">1~2</t>
    </r>
    <r>
      <rPr>
        <sz val="10"/>
        <rFont val="DejaVu Sans"/>
        <family val="2"/>
      </rPr>
      <t xml:space="preserve">명</t>
    </r>
  </si>
  <si>
    <r>
      <rPr>
        <sz val="10"/>
        <rFont val="Arial"/>
        <family val="0"/>
        <charset val="1"/>
      </rPr>
      <t xml:space="preserve">2~3</t>
    </r>
    <r>
      <rPr>
        <sz val="10"/>
        <rFont val="DejaVu Sans"/>
        <family val="2"/>
      </rPr>
      <t xml:space="preserve">명</t>
    </r>
  </si>
  <si>
    <r>
      <rPr>
        <sz val="10"/>
        <rFont val="Arial"/>
        <family val="0"/>
        <charset val="1"/>
      </rPr>
      <t xml:space="preserve">3~4</t>
    </r>
    <r>
      <rPr>
        <sz val="10"/>
        <rFont val="DejaVu Sans"/>
        <family val="2"/>
      </rPr>
      <t xml:space="preserve">명</t>
    </r>
  </si>
  <si>
    <t xml:space="preserve">디자이너</t>
  </si>
  <si>
    <t xml:space="preserve">파트타임</t>
  </si>
  <si>
    <t xml:space="preserve">전담</t>
  </si>
  <si>
    <r>
      <rPr>
        <sz val="10"/>
        <rFont val="Arial"/>
        <family val="0"/>
        <charset val="1"/>
      </rPr>
      <t xml:space="preserve">PD/</t>
    </r>
    <r>
      <rPr>
        <sz val="10"/>
        <rFont val="DejaVu Sans"/>
        <family val="2"/>
      </rPr>
      <t xml:space="preserve">디렉터</t>
    </r>
  </si>
  <si>
    <t xml:space="preserve">전략 매니저</t>
  </si>
  <si>
    <t xml:space="preserve">—</t>
  </si>
  <si>
    <t xml:space="preserve">배정</t>
  </si>
  <si>
    <t xml:space="preserve">전략 미팅</t>
  </si>
  <si>
    <r>
      <rPr>
        <sz val="10"/>
        <rFont val="DejaVu Sans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</t>
    </r>
  </si>
  <si>
    <t xml:space="preserve">격주</t>
  </si>
  <si>
    <t xml:space="preserve">주간</t>
  </si>
  <si>
    <t xml:space="preserve">리포팅</t>
  </si>
  <si>
    <t xml:space="preserve">간략 월간</t>
  </si>
  <si>
    <t xml:space="preserve">월간 리포트</t>
  </si>
  <si>
    <r>
      <rPr>
        <sz val="10"/>
        <rFont val="DejaVu Sans"/>
        <family val="2"/>
      </rPr>
      <t xml:space="preserve">주간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월간</t>
    </r>
  </si>
  <si>
    <t xml:space="preserve">커뮤니케이션</t>
  </si>
  <si>
    <r>
      <rPr>
        <sz val="10"/>
        <rFont val="DejaVu Sans"/>
        <family val="2"/>
      </rPr>
      <t xml:space="preserve">이메일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카톡</t>
    </r>
  </si>
  <si>
    <r>
      <rPr>
        <sz val="10"/>
        <rFont val="DejaVu Sans"/>
        <family val="2"/>
      </rPr>
      <t xml:space="preserve">슬랙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카톡</t>
    </r>
  </si>
  <si>
    <t xml:space="preserve">실시간 채널</t>
  </si>
  <si>
    <r>
      <rPr>
        <b val="true"/>
        <sz val="14"/>
        <rFont val="DejaVu Sans"/>
        <family val="2"/>
      </rPr>
      <t xml:space="preserve">볼륨 </t>
    </r>
    <r>
      <rPr>
        <b val="true"/>
        <sz val="14"/>
        <rFont val="Arial"/>
        <family val="0"/>
        <charset val="1"/>
      </rPr>
      <t xml:space="preserve">&amp; </t>
    </r>
    <r>
      <rPr>
        <b val="true"/>
        <sz val="14"/>
        <rFont val="DejaVu Sans"/>
        <family val="2"/>
      </rPr>
      <t xml:space="preserve">커미트먼트 할인 조건</t>
    </r>
  </si>
  <si>
    <t xml:space="preserve">구분</t>
  </si>
  <si>
    <t xml:space="preserve">할인율</t>
  </si>
  <si>
    <t xml:space="preserve">조건</t>
  </si>
  <si>
    <t xml:space="preserve">리테이너 계약</t>
  </si>
  <si>
    <r>
      <rPr>
        <sz val="10"/>
        <rFont val="Arial"/>
        <family val="0"/>
        <charset val="1"/>
      </rPr>
      <t xml:space="preserve">  3</t>
    </r>
    <r>
      <rPr>
        <sz val="10"/>
        <rFont val="DejaVu Sans"/>
        <family val="2"/>
      </rPr>
      <t xml:space="preserve">개월 커미트먼트</t>
    </r>
  </si>
  <si>
    <t xml:space="preserve">5%</t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</si>
  <si>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개월 파일럿 기준</t>
    </r>
  </si>
  <si>
    <r>
      <rPr>
        <sz val="10"/>
        <rFont val="Arial"/>
        <family val="0"/>
        <charset val="1"/>
      </rPr>
      <t xml:space="preserve">  6</t>
    </r>
    <r>
      <rPr>
        <sz val="10"/>
        <rFont val="DejaVu Sans"/>
        <family val="2"/>
      </rPr>
      <t xml:space="preserve">개월 커미트먼트</t>
    </r>
  </si>
  <si>
    <t xml:space="preserve">10%</t>
  </si>
  <si>
    <t xml:space="preserve">안정적 운영 기간</t>
  </si>
  <si>
    <r>
      <rPr>
        <sz val="10"/>
        <rFont val="Arial"/>
        <family val="0"/>
        <charset val="1"/>
      </rPr>
      <t xml:space="preserve">  12</t>
    </r>
    <r>
      <rPr>
        <sz val="10"/>
        <rFont val="DejaVu Sans"/>
        <family val="2"/>
      </rPr>
      <t xml:space="preserve">개월 커미트먼트</t>
    </r>
  </si>
  <si>
    <t xml:space="preserve">15%</t>
  </si>
  <si>
    <t xml:space="preserve">연간 계약</t>
  </si>
  <si>
    <t xml:space="preserve">볼륨 할인</t>
  </si>
  <si>
    <r>
      <rPr>
        <sz val="10"/>
        <rFont val="Arial"/>
        <family val="0"/>
        <charset val="1"/>
      </rPr>
      <t xml:space="preserve">  5~10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</si>
  <si>
    <t xml:space="preserve">단가 기준</t>
  </si>
  <si>
    <r>
      <rPr>
        <sz val="10"/>
        <rFont val="Arial"/>
        <family val="0"/>
        <charset val="1"/>
      </rPr>
      <t xml:space="preserve">  10~20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</si>
  <si>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  20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+ /</t>
    </r>
    <r>
      <rPr>
        <sz val="10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</si>
  <si>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현 프로젝트 해당 </t>
    </r>
    <r>
      <rPr>
        <sz val="10"/>
        <rFont val="Arial"/>
        <family val="0"/>
        <charset val="1"/>
      </rPr>
      <t xml:space="preserve">(32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</si>
  <si>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t xml:space="preserve">번들 할인</t>
  </si>
  <si>
    <r>
      <rPr>
        <sz val="10"/>
        <rFont val="DejaVu Sans"/>
        <family val="2"/>
      </rPr>
      <t xml:space="preserve">  전략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제작 통합</t>
    </r>
  </si>
  <si>
    <t xml:space="preserve">10~15%</t>
  </si>
  <si>
    <t xml:space="preserve">패키지 가격 적용</t>
  </si>
  <si>
    <t xml:space="preserve">  멀티 채널 동시 운영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</si>
  <si>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채널 이상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</si>
</sst>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₩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DejaVu Sans"/>
      <family val="2"/>
    </font>
    <font>
      <b val="true"/>
      <sz val="14"/>
      <name val="Arial"/>
      <family val="0"/>
      <charset val="1"/>
    </font>
    <font>
      <b val="true"/>
      <sz val="11"/>
      <color rgb="FF6B7280"/>
      <name val="Arial"/>
      <family val="0"/>
      <charset val="1"/>
    </font>
    <font>
      <b val="true"/>
      <sz val="11"/>
      <color rgb="FF6B7280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0"/>
      <color rgb="FF1E40AF"/>
      <name val="DejaVu Sans"/>
      <family val="2"/>
    </font>
    <font>
      <b val="true"/>
      <sz val="10"/>
      <color rgb="FF1E40AF"/>
      <name val="Arial"/>
      <family val="0"/>
      <charset val="1"/>
    </font>
    <font>
      <sz val="10"/>
      <color rgb="FFDC2626"/>
      <name val="Arial"/>
      <family val="0"/>
      <charset val="1"/>
    </font>
    <font>
      <sz val="9"/>
      <color rgb="FF3B82F6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D97706"/>
      <name val="DejaVu Sans"/>
      <family val="2"/>
    </font>
    <font>
      <sz val="9"/>
      <color rgb="FFEC489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F3F4F6"/>
        <bgColor rgb="FFEFF6FF"/>
      </patternFill>
    </fill>
    <fill>
      <patternFill patternType="solid">
        <fgColor rgb="FFEFF6FF"/>
        <bgColor rgb="FFF3F4F6"/>
      </patternFill>
    </fill>
    <fill>
      <patternFill patternType="solid">
        <fgColor rgb="FFE5E7EB"/>
        <bgColor rgb="FFF3F4F6"/>
      </patternFill>
    </fill>
    <fill>
      <patternFill patternType="solid">
        <fgColor rgb="FF111827"/>
        <bgColor rgb="FF1F2937"/>
      </patternFill>
    </fill>
    <fill>
      <patternFill patternType="solid">
        <fgColor rgb="FFF9FA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EFF6FF"/>
      <rgbColor rgb="FF660066"/>
      <rgbColor rgb="FFEC4899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7" min="3" style="0" width="18"/>
  </cols>
  <sheetData>
    <row r="1" customFormat="false" ht="30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21.75" hidden="false" customHeight="true" outlineLevel="0" collapsed="false">
      <c r="B2" s="2" t="s">
        <v>1</v>
      </c>
      <c r="C2" s="2"/>
      <c r="D2" s="2"/>
      <c r="E2" s="2"/>
      <c r="F2" s="2"/>
      <c r="G2" s="2"/>
    </row>
    <row r="4" customFormat="false" ht="27.75" hidden="false" customHeight="true" outlineLevel="0" collapsed="false">
      <c r="B4" s="3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4" t="s">
        <v>7</v>
      </c>
    </row>
    <row r="5" customFormat="false" ht="15" hidden="false" customHeight="false" outlineLevel="0" collapsed="false">
      <c r="B5" s="5" t="s">
        <v>8</v>
      </c>
      <c r="C5" s="5" t="s">
        <v>9</v>
      </c>
      <c r="D5" s="6" t="n">
        <v>400000</v>
      </c>
      <c r="E5" s="5" t="n">
        <v>5</v>
      </c>
      <c r="F5" s="5" t="n">
        <v>9</v>
      </c>
      <c r="G5" s="5" t="n">
        <v>14</v>
      </c>
    </row>
    <row r="6" customFormat="false" ht="15" hidden="false" customHeight="false" outlineLevel="0" collapsed="false">
      <c r="B6" s="7" t="s">
        <v>10</v>
      </c>
      <c r="C6" s="7"/>
      <c r="D6" s="7"/>
      <c r="E6" s="8" t="n">
        <f aca="false">D5*E5</f>
        <v>2000000</v>
      </c>
      <c r="F6" s="8" t="n">
        <f aca="false">D5*F5</f>
        <v>3600000</v>
      </c>
      <c r="G6" s="8" t="n">
        <f aca="false">D5*G5</f>
        <v>5600000</v>
      </c>
    </row>
    <row r="7" customFormat="false" ht="15" hidden="false" customHeight="false" outlineLevel="0" collapsed="false">
      <c r="B7" s="5" t="s">
        <v>11</v>
      </c>
      <c r="C7" s="5" t="s">
        <v>9</v>
      </c>
      <c r="D7" s="6" t="n">
        <v>250000</v>
      </c>
      <c r="E7" s="5" t="n">
        <f aca="false">32-E5</f>
        <v>27</v>
      </c>
      <c r="F7" s="5" t="n">
        <f aca="false">32-F5</f>
        <v>23</v>
      </c>
      <c r="G7" s="5" t="n">
        <f aca="false">32-G5</f>
        <v>18</v>
      </c>
    </row>
    <row r="8" customFormat="false" ht="15" hidden="false" customHeight="false" outlineLevel="0" collapsed="false">
      <c r="B8" s="7" t="s">
        <v>12</v>
      </c>
      <c r="C8" s="7"/>
      <c r="D8" s="7"/>
      <c r="E8" s="8" t="n">
        <f aca="false">D7*E7</f>
        <v>6750000</v>
      </c>
      <c r="F8" s="8" t="n">
        <f aca="false">D7*F7</f>
        <v>5750000</v>
      </c>
      <c r="G8" s="8" t="n">
        <f aca="false">D7*G7</f>
        <v>4500000</v>
      </c>
    </row>
    <row r="9" customFormat="false" ht="15" hidden="false" customHeight="false" outlineLevel="0" collapsed="false">
      <c r="B9" s="9" t="s">
        <v>13</v>
      </c>
      <c r="C9" s="10" t="s">
        <v>14</v>
      </c>
      <c r="D9" s="9"/>
      <c r="E9" s="11" t="n">
        <f aca="false">E6+E8</f>
        <v>8750000</v>
      </c>
      <c r="F9" s="11" t="n">
        <f aca="false">F6+F8</f>
        <v>9350000</v>
      </c>
      <c r="G9" s="11" t="n">
        <f aca="false">G6+G8</f>
        <v>10100000</v>
      </c>
    </row>
    <row r="10" customFormat="false" ht="15" hidden="false" customHeight="false" outlineLevel="0" collapsed="false">
      <c r="B10" s="12"/>
      <c r="C10" s="12"/>
      <c r="D10" s="12"/>
      <c r="E10" s="12"/>
      <c r="F10" s="12"/>
      <c r="G10" s="12"/>
    </row>
    <row r="11" customFormat="false" ht="15" hidden="false" customHeight="false" outlineLevel="0" collapsed="false">
      <c r="B11" s="5" t="s">
        <v>15</v>
      </c>
      <c r="C11" s="13" t="s">
        <v>16</v>
      </c>
      <c r="D11" s="6" t="n">
        <v>800000</v>
      </c>
      <c r="E11" s="6" t="n">
        <f aca="false">D11*2</f>
        <v>1600000</v>
      </c>
      <c r="F11" s="6" t="n">
        <f aca="false">D11*2</f>
        <v>1600000</v>
      </c>
      <c r="G11" s="6" t="n">
        <f aca="false">D11*2</f>
        <v>1600000</v>
      </c>
    </row>
    <row r="12" customFormat="false" ht="15" hidden="false" customHeight="false" outlineLevel="0" collapsed="false">
      <c r="B12" s="5" t="s">
        <v>17</v>
      </c>
      <c r="C12" s="13" t="s">
        <v>16</v>
      </c>
      <c r="D12" s="6" t="n">
        <v>300000</v>
      </c>
      <c r="E12" s="6" t="n">
        <v>0</v>
      </c>
      <c r="F12" s="6" t="n">
        <f aca="false">D12*2</f>
        <v>600000</v>
      </c>
      <c r="G12" s="6" t="n">
        <f aca="false">D12*2</f>
        <v>600000</v>
      </c>
    </row>
    <row r="13" customFormat="false" ht="15" hidden="false" customHeight="false" outlineLevel="0" collapsed="false">
      <c r="B13" s="12"/>
      <c r="C13" s="12"/>
      <c r="D13" s="12"/>
      <c r="E13" s="12"/>
      <c r="F13" s="12"/>
      <c r="G13" s="12"/>
    </row>
    <row r="14" customFormat="false" ht="15" hidden="false" customHeight="false" outlineLevel="0" collapsed="false">
      <c r="B14" s="5" t="s">
        <v>18</v>
      </c>
      <c r="C14" s="5" t="s">
        <v>19</v>
      </c>
      <c r="D14" s="6" t="n">
        <v>1000000</v>
      </c>
      <c r="E14" s="6" t="n">
        <v>0</v>
      </c>
      <c r="F14" s="6" t="n">
        <f aca="false">D14</f>
        <v>1000000</v>
      </c>
      <c r="G14" s="6" t="n">
        <f aca="false">D14</f>
        <v>1000000</v>
      </c>
    </row>
    <row r="15" customFormat="false" ht="15" hidden="false" customHeight="false" outlineLevel="0" collapsed="false">
      <c r="B15" s="13" t="s">
        <v>20</v>
      </c>
      <c r="C15" s="13" t="s">
        <v>21</v>
      </c>
      <c r="D15" s="6" t="n">
        <v>500000</v>
      </c>
      <c r="E15" s="6" t="n">
        <v>0</v>
      </c>
      <c r="F15" s="6" t="n">
        <f aca="false">D15*2</f>
        <v>1000000</v>
      </c>
      <c r="G15" s="6" t="n">
        <f aca="false">D15*2</f>
        <v>1000000</v>
      </c>
    </row>
    <row r="16" customFormat="false" ht="15" hidden="false" customHeight="false" outlineLevel="0" collapsed="false">
      <c r="B16" s="5" t="s">
        <v>22</v>
      </c>
      <c r="C16" s="5" t="s">
        <v>19</v>
      </c>
      <c r="D16" s="6" t="n">
        <v>500000</v>
      </c>
      <c r="E16" s="6" t="n">
        <f aca="false">D16*0.5</f>
        <v>250000</v>
      </c>
      <c r="F16" s="6" t="n">
        <f aca="false">D16*2</f>
        <v>1000000</v>
      </c>
      <c r="G16" s="6" t="n">
        <f aca="false">D16*2</f>
        <v>1000000</v>
      </c>
    </row>
    <row r="17" customFormat="false" ht="15" hidden="false" customHeight="false" outlineLevel="0" collapsed="false">
      <c r="B17" s="5" t="s">
        <v>23</v>
      </c>
      <c r="C17" s="5" t="s">
        <v>19</v>
      </c>
      <c r="D17" s="6" t="n">
        <v>500000</v>
      </c>
      <c r="E17" s="6" t="n">
        <v>0</v>
      </c>
      <c r="F17" s="6" t="n">
        <f aca="false">D17</f>
        <v>500000</v>
      </c>
      <c r="G17" s="6" t="n">
        <f aca="false">D17</f>
        <v>500000</v>
      </c>
    </row>
    <row r="18" customFormat="false" ht="15" hidden="false" customHeight="false" outlineLevel="0" collapsed="false">
      <c r="B18" s="5" t="s">
        <v>24</v>
      </c>
      <c r="C18" s="5" t="s">
        <v>19</v>
      </c>
      <c r="D18" s="6" t="n">
        <v>300000</v>
      </c>
      <c r="E18" s="6" t="n">
        <f aca="false">D18</f>
        <v>300000</v>
      </c>
      <c r="F18" s="6" t="n">
        <f aca="false">D18*1.5</f>
        <v>450000</v>
      </c>
      <c r="G18" s="6" t="n">
        <f aca="false">D18*2</f>
        <v>600000</v>
      </c>
    </row>
    <row r="19" customFormat="false" ht="15" hidden="false" customHeight="false" outlineLevel="0" collapsed="false">
      <c r="B19" s="12"/>
      <c r="C19" s="12"/>
      <c r="D19" s="12"/>
      <c r="E19" s="12"/>
      <c r="F19" s="12"/>
      <c r="G19" s="12"/>
    </row>
    <row r="20" customFormat="false" ht="15" hidden="false" customHeight="false" outlineLevel="0" collapsed="false">
      <c r="B20" s="5" t="s">
        <v>25</v>
      </c>
      <c r="C20" s="13" t="s">
        <v>26</v>
      </c>
      <c r="D20" s="6" t="n">
        <v>500000</v>
      </c>
      <c r="E20" s="6" t="n">
        <v>0</v>
      </c>
      <c r="F20" s="6" t="n">
        <v>0</v>
      </c>
      <c r="G20" s="6" t="n">
        <f aca="false">D20*2</f>
        <v>1000000</v>
      </c>
    </row>
    <row r="21" customFormat="false" ht="15" hidden="false" customHeight="false" outlineLevel="0" collapsed="false">
      <c r="B21" s="5" t="s">
        <v>27</v>
      </c>
      <c r="C21" s="13" t="s">
        <v>21</v>
      </c>
      <c r="D21" s="6" t="n">
        <v>250000</v>
      </c>
      <c r="E21" s="6" t="n">
        <v>0</v>
      </c>
      <c r="F21" s="6" t="n">
        <v>0</v>
      </c>
      <c r="G21" s="6" t="n">
        <f aca="false">D21*2</f>
        <v>500000</v>
      </c>
    </row>
    <row r="22" customFormat="false" ht="15" hidden="false" customHeight="false" outlineLevel="0" collapsed="false">
      <c r="B22" s="5" t="s">
        <v>28</v>
      </c>
      <c r="C22" s="5" t="s">
        <v>19</v>
      </c>
      <c r="D22" s="6" t="n">
        <v>500000</v>
      </c>
      <c r="E22" s="6" t="n">
        <v>0</v>
      </c>
      <c r="F22" s="6" t="n">
        <v>0</v>
      </c>
      <c r="G22" s="6" t="n">
        <f aca="false">D22</f>
        <v>500000</v>
      </c>
    </row>
    <row r="24" customFormat="false" ht="15" hidden="false" customHeight="false" outlineLevel="0" collapsed="false">
      <c r="B24" s="14" t="s">
        <v>29</v>
      </c>
      <c r="C24" s="14"/>
      <c r="D24" s="14"/>
      <c r="E24" s="15" t="n">
        <f aca="false">E9+E11+E12+E14+E15+E16+E17+E18+E20+E21+E22</f>
        <v>10900000</v>
      </c>
      <c r="F24" s="15" t="n">
        <f aca="false">F9+F11+F12+F14+F15+F16+F17+F18+F20+F21+F22</f>
        <v>15500000</v>
      </c>
      <c r="G24" s="15" t="n">
        <f aca="false">G9+G11+G12+G14+G15+G16+G17+G18+G20+G21+G22</f>
        <v>18400000</v>
      </c>
    </row>
    <row r="25" customFormat="false" ht="15" hidden="false" customHeight="false" outlineLevel="0" collapsed="false">
      <c r="B25" s="5" t="s">
        <v>30</v>
      </c>
      <c r="C25" s="5"/>
      <c r="D25" s="5"/>
      <c r="E25" s="16" t="n">
        <f aca="false">E24-5000000</f>
        <v>5900000</v>
      </c>
      <c r="F25" s="16" t="n">
        <f aca="false">F24-7500000</f>
        <v>8000000</v>
      </c>
      <c r="G25" s="16" t="n">
        <f aca="false">G24-10000000</f>
        <v>8400000</v>
      </c>
    </row>
    <row r="27" customFormat="false" ht="15" hidden="false" customHeight="false" outlineLevel="0" collapsed="false">
      <c r="B27" s="17" t="s">
        <v>31</v>
      </c>
      <c r="C27" s="17"/>
      <c r="D27" s="17"/>
      <c r="E27" s="18" t="n">
        <v>5000000</v>
      </c>
      <c r="F27" s="18" t="n">
        <v>7500000</v>
      </c>
      <c r="G27" s="18" t="n">
        <v>10000000</v>
      </c>
    </row>
    <row r="28" customFormat="false" ht="15" hidden="false" customHeight="false" outlineLevel="0" collapsed="false">
      <c r="B28" s="19" t="s">
        <v>32</v>
      </c>
      <c r="C28" s="19"/>
      <c r="D28" s="19"/>
      <c r="E28" s="20" t="n">
        <f aca="false">E27*3</f>
        <v>15000000</v>
      </c>
      <c r="F28" s="20" t="n">
        <f aca="false">F27*3</f>
        <v>22500000</v>
      </c>
      <c r="G28" s="20" t="n">
        <f aca="false">G27*3</f>
        <v>30000000</v>
      </c>
    </row>
    <row r="29" customFormat="false" ht="15" hidden="false" customHeight="false" outlineLevel="0" collapsed="false">
      <c r="E29" s="21" t="s">
        <v>33</v>
      </c>
      <c r="F29" s="22" t="s">
        <v>34</v>
      </c>
      <c r="G29" s="23" t="s">
        <v>35</v>
      </c>
    </row>
    <row r="31" customFormat="false" ht="15" hidden="false" customHeight="false" outlineLevel="0" collapsed="false">
      <c r="B31" s="24" t="s">
        <v>36</v>
      </c>
      <c r="C31" s="24"/>
      <c r="D31" s="24"/>
      <c r="E31" s="25" t="n">
        <f aca="false">E9/32</f>
        <v>273437.5</v>
      </c>
      <c r="F31" s="25" t="n">
        <f aca="false">F9/32</f>
        <v>292187.5</v>
      </c>
      <c r="G31" s="25" t="n">
        <f aca="false">G9/32</f>
        <v>315625</v>
      </c>
    </row>
    <row r="32" customFormat="false" ht="15" hidden="false" customHeight="false" outlineLevel="0" collapsed="false">
      <c r="B32" s="24" t="s">
        <v>37</v>
      </c>
      <c r="C32" s="24"/>
      <c r="D32" s="24"/>
      <c r="E32" s="25" t="n">
        <f aca="false">E27/32</f>
        <v>156250</v>
      </c>
      <c r="F32" s="25" t="n">
        <f aca="false">F27/32</f>
        <v>234375</v>
      </c>
      <c r="G32" s="25" t="n">
        <f aca="false">G27/32</f>
        <v>312500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5" min="3" style="0" width="18"/>
    <col collapsed="false" customWidth="true" hidden="false" outlineLevel="0" max="6" min="6" style="0" width="25"/>
  </cols>
  <sheetData>
    <row r="1" customFormat="false" ht="17.35" hidden="false" customHeight="false" outlineLevel="0" collapsed="false">
      <c r="B1" s="1" t="s">
        <v>38</v>
      </c>
      <c r="C1" s="1"/>
      <c r="D1" s="1"/>
      <c r="E1" s="1"/>
      <c r="F1" s="1"/>
    </row>
    <row r="3" customFormat="false" ht="15" hidden="false" customHeight="false" outlineLevel="0" collapsed="false">
      <c r="B3" s="3" t="s">
        <v>2</v>
      </c>
      <c r="C3" s="3" t="s">
        <v>4</v>
      </c>
      <c r="D3" s="3" t="s">
        <v>39</v>
      </c>
      <c r="E3" s="3" t="s">
        <v>40</v>
      </c>
      <c r="F3" s="3" t="s">
        <v>41</v>
      </c>
    </row>
    <row r="4" customFormat="false" ht="15" hidden="false" customHeight="false" outlineLevel="0" collapsed="false">
      <c r="B4" s="26" t="s">
        <v>42</v>
      </c>
      <c r="C4" s="27"/>
      <c r="D4" s="27"/>
      <c r="E4" s="27"/>
      <c r="F4" s="27"/>
    </row>
    <row r="5" customFormat="false" ht="15" hidden="false" customHeight="false" outlineLevel="0" collapsed="false">
      <c r="B5" s="5" t="s">
        <v>43</v>
      </c>
      <c r="C5" s="6" t="n">
        <v>250000</v>
      </c>
      <c r="D5" s="5" t="s">
        <v>44</v>
      </c>
      <c r="E5" s="5" t="s">
        <v>45</v>
      </c>
      <c r="F5" s="5" t="s">
        <v>46</v>
      </c>
    </row>
    <row r="6" customFormat="false" ht="15" hidden="false" customHeight="false" outlineLevel="0" collapsed="false">
      <c r="B6" s="5" t="s">
        <v>47</v>
      </c>
      <c r="C6" s="6" t="n">
        <v>400000</v>
      </c>
      <c r="D6" s="5" t="s">
        <v>44</v>
      </c>
      <c r="E6" s="5" t="s">
        <v>48</v>
      </c>
      <c r="F6" s="5" t="s">
        <v>49</v>
      </c>
    </row>
    <row r="7" customFormat="false" ht="15" hidden="false" customHeight="false" outlineLevel="0" collapsed="false">
      <c r="B7" s="5" t="s">
        <v>50</v>
      </c>
      <c r="C7" s="6" t="n">
        <v>650000</v>
      </c>
      <c r="D7" s="5" t="s">
        <v>44</v>
      </c>
      <c r="E7" s="5" t="s">
        <v>51</v>
      </c>
      <c r="F7" s="5" t="s">
        <v>52</v>
      </c>
    </row>
    <row r="8" customFormat="false" ht="15" hidden="false" customHeight="false" outlineLevel="0" collapsed="false">
      <c r="B8" s="5" t="s">
        <v>53</v>
      </c>
      <c r="C8" s="6" t="n">
        <v>1250000</v>
      </c>
      <c r="D8" s="5" t="s">
        <v>44</v>
      </c>
      <c r="E8" s="5" t="s">
        <v>54</v>
      </c>
      <c r="F8" s="5" t="s">
        <v>55</v>
      </c>
    </row>
    <row r="9" customFormat="false" ht="15" hidden="false" customHeight="false" outlineLevel="0" collapsed="false">
      <c r="B9" s="5" t="s">
        <v>56</v>
      </c>
      <c r="C9" s="6" t="n">
        <v>2000000</v>
      </c>
      <c r="D9" s="5" t="s">
        <v>44</v>
      </c>
      <c r="E9" s="13" t="s">
        <v>57</v>
      </c>
      <c r="F9" s="5" t="s">
        <v>58</v>
      </c>
    </row>
    <row r="11" customFormat="false" ht="15" hidden="false" customHeight="false" outlineLevel="0" collapsed="false">
      <c r="B11" s="26" t="s">
        <v>59</v>
      </c>
      <c r="C11" s="27"/>
      <c r="D11" s="27"/>
      <c r="E11" s="27"/>
      <c r="F11" s="27"/>
    </row>
    <row r="12" customFormat="false" ht="15" hidden="false" customHeight="false" outlineLevel="0" collapsed="false">
      <c r="B12" s="5" t="s">
        <v>60</v>
      </c>
      <c r="C12" s="6" t="n">
        <v>800000</v>
      </c>
      <c r="D12" s="5" t="s">
        <v>61</v>
      </c>
      <c r="E12" s="5" t="s">
        <v>62</v>
      </c>
      <c r="F12" s="13" t="s">
        <v>63</v>
      </c>
    </row>
    <row r="13" customFormat="false" ht="15" hidden="false" customHeight="false" outlineLevel="0" collapsed="false">
      <c r="B13" s="5" t="s">
        <v>64</v>
      </c>
      <c r="C13" s="6" t="n">
        <v>700000</v>
      </c>
      <c r="D13" s="5" t="s">
        <v>61</v>
      </c>
      <c r="E13" s="13" t="s">
        <v>65</v>
      </c>
      <c r="F13" s="5" t="s">
        <v>66</v>
      </c>
    </row>
    <row r="14" customFormat="false" ht="15" hidden="false" customHeight="false" outlineLevel="0" collapsed="false">
      <c r="B14" s="5" t="s">
        <v>67</v>
      </c>
      <c r="C14" s="6" t="n">
        <v>300000</v>
      </c>
      <c r="D14" s="5" t="s">
        <v>61</v>
      </c>
      <c r="E14" s="13" t="s">
        <v>68</v>
      </c>
      <c r="F14" s="5" t="s">
        <v>69</v>
      </c>
    </row>
    <row r="15" customFormat="false" ht="15" hidden="false" customHeight="false" outlineLevel="0" collapsed="false">
      <c r="B15" s="5" t="s">
        <v>70</v>
      </c>
      <c r="C15" s="6" t="n">
        <v>75000</v>
      </c>
      <c r="D15" s="5" t="s">
        <v>44</v>
      </c>
      <c r="E15" s="5" t="s">
        <v>71</v>
      </c>
      <c r="F15" s="5" t="s">
        <v>72</v>
      </c>
    </row>
    <row r="16" customFormat="false" ht="15" hidden="false" customHeight="false" outlineLevel="0" collapsed="false">
      <c r="B16" s="5" t="s">
        <v>73</v>
      </c>
      <c r="C16" s="6" t="n">
        <v>125000</v>
      </c>
      <c r="D16" s="5" t="s">
        <v>74</v>
      </c>
      <c r="E16" s="13" t="s">
        <v>75</v>
      </c>
      <c r="F16" s="5" t="s">
        <v>76</v>
      </c>
    </row>
    <row r="18" customFormat="false" ht="15" hidden="false" customHeight="false" outlineLevel="0" collapsed="false">
      <c r="B18" s="26" t="s">
        <v>77</v>
      </c>
      <c r="C18" s="27"/>
      <c r="D18" s="27"/>
      <c r="E18" s="27"/>
      <c r="F18" s="27"/>
    </row>
    <row r="19" customFormat="false" ht="15" hidden="false" customHeight="false" outlineLevel="0" collapsed="false">
      <c r="B19" s="5" t="s">
        <v>78</v>
      </c>
      <c r="C19" s="6" t="n">
        <v>1000000</v>
      </c>
      <c r="D19" s="5" t="s">
        <v>79</v>
      </c>
      <c r="E19" s="5" t="s">
        <v>80</v>
      </c>
      <c r="F19" s="5" t="s">
        <v>81</v>
      </c>
    </row>
    <row r="20" customFormat="false" ht="15" hidden="false" customHeight="false" outlineLevel="0" collapsed="false">
      <c r="B20" s="13" t="s">
        <v>82</v>
      </c>
      <c r="C20" s="6" t="n">
        <v>500000</v>
      </c>
      <c r="D20" s="5" t="s">
        <v>83</v>
      </c>
      <c r="E20" s="5" t="s">
        <v>84</v>
      </c>
      <c r="F20" s="5" t="s">
        <v>85</v>
      </c>
    </row>
    <row r="21" customFormat="false" ht="15" hidden="false" customHeight="false" outlineLevel="0" collapsed="false">
      <c r="B21" s="5" t="s">
        <v>86</v>
      </c>
      <c r="C21" s="6" t="n">
        <v>1750000</v>
      </c>
      <c r="D21" s="5" t="s">
        <v>74</v>
      </c>
      <c r="E21" s="13" t="s">
        <v>87</v>
      </c>
      <c r="F21" s="5" t="s">
        <v>88</v>
      </c>
    </row>
    <row r="22" customFormat="false" ht="15" hidden="false" customHeight="false" outlineLevel="0" collapsed="false">
      <c r="B22" s="5" t="s">
        <v>89</v>
      </c>
      <c r="C22" s="6" t="n">
        <v>1500000</v>
      </c>
      <c r="D22" s="5" t="s">
        <v>90</v>
      </c>
      <c r="E22" s="5" t="s">
        <v>91</v>
      </c>
      <c r="F22" s="5" t="s">
        <v>92</v>
      </c>
    </row>
    <row r="24" customFormat="false" ht="15" hidden="false" customHeight="false" outlineLevel="0" collapsed="false">
      <c r="B24" s="26" t="s">
        <v>93</v>
      </c>
      <c r="C24" s="27"/>
      <c r="D24" s="27"/>
      <c r="E24" s="27"/>
      <c r="F24" s="27"/>
    </row>
    <row r="25" customFormat="false" ht="15" hidden="false" customHeight="false" outlineLevel="0" collapsed="false">
      <c r="B25" s="5" t="s">
        <v>94</v>
      </c>
      <c r="C25" s="6" t="n">
        <v>150000</v>
      </c>
      <c r="D25" s="5" t="s">
        <v>44</v>
      </c>
      <c r="E25" s="5" t="s">
        <v>95</v>
      </c>
      <c r="F25" s="5" t="s">
        <v>96</v>
      </c>
    </row>
    <row r="26" customFormat="false" ht="15" hidden="false" customHeight="false" outlineLevel="0" collapsed="false">
      <c r="B26" s="5" t="s">
        <v>97</v>
      </c>
      <c r="C26" s="6" t="n">
        <v>500000</v>
      </c>
      <c r="D26" s="5" t="s">
        <v>61</v>
      </c>
      <c r="E26" s="13" t="s">
        <v>98</v>
      </c>
      <c r="F26" s="5" t="s">
        <v>99</v>
      </c>
    </row>
    <row r="27" customFormat="false" ht="15" hidden="false" customHeight="false" outlineLevel="0" collapsed="false">
      <c r="B27" s="5" t="s">
        <v>100</v>
      </c>
      <c r="C27" s="6" t="n">
        <v>1250000</v>
      </c>
      <c r="D27" s="13" t="s">
        <v>101</v>
      </c>
      <c r="E27" s="5" t="s">
        <v>102</v>
      </c>
      <c r="F27" s="5" t="s">
        <v>103</v>
      </c>
    </row>
    <row r="28" customFormat="false" ht="15" hidden="false" customHeight="false" outlineLevel="0" collapsed="false">
      <c r="B28" s="5" t="s">
        <v>104</v>
      </c>
      <c r="C28" s="6" t="n">
        <v>250000</v>
      </c>
      <c r="D28" s="5" t="s">
        <v>83</v>
      </c>
      <c r="E28" s="5" t="s">
        <v>105</v>
      </c>
      <c r="F28" s="5" t="s">
        <v>106</v>
      </c>
    </row>
    <row r="30" customFormat="false" ht="15" hidden="false" customHeight="false" outlineLevel="0" collapsed="false">
      <c r="B30" s="26" t="s">
        <v>107</v>
      </c>
      <c r="C30" s="27"/>
      <c r="D30" s="27"/>
      <c r="E30" s="27"/>
      <c r="F30" s="27"/>
    </row>
    <row r="31" customFormat="false" ht="15" hidden="false" customHeight="false" outlineLevel="0" collapsed="false">
      <c r="B31" s="5" t="s">
        <v>108</v>
      </c>
      <c r="C31" s="6" t="n">
        <v>500000</v>
      </c>
      <c r="D31" s="5" t="s">
        <v>79</v>
      </c>
      <c r="E31" s="5" t="s">
        <v>109</v>
      </c>
      <c r="F31" s="5" t="s">
        <v>110</v>
      </c>
    </row>
    <row r="32" customFormat="false" ht="15" hidden="false" customHeight="false" outlineLevel="0" collapsed="false">
      <c r="B32" s="5" t="s">
        <v>111</v>
      </c>
      <c r="C32" s="6" t="n">
        <v>300000</v>
      </c>
      <c r="D32" s="5" t="s">
        <v>79</v>
      </c>
      <c r="E32" s="5" t="s">
        <v>112</v>
      </c>
      <c r="F32" s="5" t="s">
        <v>113</v>
      </c>
    </row>
    <row r="33" customFormat="false" ht="15" hidden="false" customHeight="false" outlineLevel="0" collapsed="false">
      <c r="B33" s="5" t="s">
        <v>114</v>
      </c>
      <c r="C33" s="6" t="n">
        <v>500000</v>
      </c>
      <c r="D33" s="5" t="s">
        <v>79</v>
      </c>
      <c r="E33" s="5" t="s">
        <v>115</v>
      </c>
      <c r="F33" s="5" t="s">
        <v>116</v>
      </c>
    </row>
    <row r="34" customFormat="false" ht="15" hidden="false" customHeight="false" outlineLevel="0" collapsed="false">
      <c r="B34" s="5" t="s">
        <v>117</v>
      </c>
      <c r="C34" s="5" t="s">
        <v>118</v>
      </c>
      <c r="D34" s="5" t="s">
        <v>79</v>
      </c>
      <c r="E34" s="13" t="s">
        <v>119</v>
      </c>
      <c r="F34" s="5" t="s">
        <v>120</v>
      </c>
    </row>
    <row r="35" customFormat="false" ht="15" hidden="false" customHeight="false" outlineLevel="0" collapsed="false">
      <c r="B35" s="5" t="s">
        <v>121</v>
      </c>
      <c r="C35" s="6" t="n">
        <v>500000</v>
      </c>
      <c r="D35" s="5" t="s">
        <v>122</v>
      </c>
      <c r="E35" s="5" t="s">
        <v>123</v>
      </c>
      <c r="F35" s="13" t="s">
        <v>124</v>
      </c>
    </row>
    <row r="36" customFormat="false" ht="15" hidden="false" customHeight="false" outlineLevel="0" collapsed="false">
      <c r="B36" s="5" t="s">
        <v>125</v>
      </c>
      <c r="C36" s="6" t="n">
        <v>500000</v>
      </c>
      <c r="D36" s="5" t="s">
        <v>79</v>
      </c>
      <c r="E36" s="13" t="s">
        <v>126</v>
      </c>
      <c r="F36" s="13" t="s">
        <v>124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6" min="3" style="0" width="16"/>
  </cols>
  <sheetData>
    <row r="1" customFormat="false" ht="17.9" hidden="false" customHeight="false" outlineLevel="0" collapsed="false">
      <c r="B1" s="1" t="s">
        <v>127</v>
      </c>
      <c r="C1" s="1"/>
      <c r="D1" s="1"/>
      <c r="E1" s="1"/>
      <c r="F1" s="1"/>
    </row>
    <row r="3" customFormat="false" ht="15" hidden="false" customHeight="false" outlineLevel="0" collapsed="false">
      <c r="B3" s="3" t="s">
        <v>128</v>
      </c>
      <c r="C3" s="4" t="s">
        <v>129</v>
      </c>
      <c r="D3" s="4" t="s">
        <v>130</v>
      </c>
      <c r="E3" s="4" t="s">
        <v>131</v>
      </c>
      <c r="F3" s="3" t="s">
        <v>40</v>
      </c>
    </row>
    <row r="4" customFormat="false" ht="15" hidden="false" customHeight="false" outlineLevel="0" collapsed="false">
      <c r="B4" s="28" t="s">
        <v>132</v>
      </c>
      <c r="C4" s="29" t="s">
        <v>133</v>
      </c>
      <c r="D4" s="29" t="s">
        <v>134</v>
      </c>
      <c r="E4" s="29" t="s">
        <v>135</v>
      </c>
      <c r="F4" s="30" t="s">
        <v>136</v>
      </c>
    </row>
    <row r="5" customFormat="false" ht="15" hidden="false" customHeight="false" outlineLevel="0" collapsed="false">
      <c r="B5" s="28" t="s">
        <v>137</v>
      </c>
      <c r="C5" s="29" t="s">
        <v>138</v>
      </c>
      <c r="D5" s="29" t="s">
        <v>139</v>
      </c>
      <c r="E5" s="29" t="s">
        <v>140</v>
      </c>
      <c r="F5" s="30"/>
    </row>
    <row r="6" customFormat="false" ht="15" hidden="false" customHeight="false" outlineLevel="0" collapsed="false">
      <c r="B6" s="28" t="s">
        <v>141</v>
      </c>
      <c r="C6" s="29" t="s">
        <v>142</v>
      </c>
      <c r="D6" s="29" t="s">
        <v>143</v>
      </c>
      <c r="E6" s="29" t="s">
        <v>144</v>
      </c>
      <c r="F6" s="30"/>
    </row>
    <row r="7" customFormat="false" ht="15" hidden="false" customHeight="false" outlineLevel="0" collapsed="false">
      <c r="B7" s="28" t="s">
        <v>145</v>
      </c>
      <c r="C7" s="29" t="s">
        <v>146</v>
      </c>
      <c r="D7" s="29" t="s">
        <v>147</v>
      </c>
      <c r="E7" s="29" t="s">
        <v>148</v>
      </c>
      <c r="F7" s="30"/>
    </row>
    <row r="8" customFormat="false" ht="15" hidden="false" customHeight="false" outlineLevel="0" collapsed="false">
      <c r="B8" s="28" t="s">
        <v>149</v>
      </c>
      <c r="C8" s="29" t="s">
        <v>150</v>
      </c>
      <c r="D8" s="29" t="s">
        <v>150</v>
      </c>
      <c r="E8" s="29" t="s">
        <v>150</v>
      </c>
      <c r="F8" s="29" t="s">
        <v>151</v>
      </c>
    </row>
    <row r="9" customFormat="false" ht="15" hidden="false" customHeight="false" outlineLevel="0" collapsed="false">
      <c r="B9" s="28"/>
      <c r="C9" s="30"/>
      <c r="D9" s="30"/>
      <c r="E9" s="30"/>
      <c r="F9" s="30"/>
    </row>
    <row r="10" customFormat="false" ht="15" hidden="false" customHeight="false" outlineLevel="0" collapsed="false">
      <c r="B10" s="28" t="s">
        <v>152</v>
      </c>
      <c r="C10" s="29" t="s">
        <v>153</v>
      </c>
      <c r="D10" s="29" t="s">
        <v>154</v>
      </c>
      <c r="E10" s="29" t="s">
        <v>155</v>
      </c>
      <c r="F10" s="30"/>
    </row>
    <row r="11" customFormat="false" ht="15" hidden="false" customHeight="false" outlineLevel="0" collapsed="false">
      <c r="B11" s="28" t="s">
        <v>156</v>
      </c>
      <c r="C11" s="30" t="s">
        <v>157</v>
      </c>
      <c r="D11" s="30" t="s">
        <v>158</v>
      </c>
      <c r="E11" s="30" t="s">
        <v>158</v>
      </c>
      <c r="F11" s="30"/>
    </row>
    <row r="12" customFormat="false" ht="15" hidden="false" customHeight="false" outlineLevel="0" collapsed="false">
      <c r="B12" s="31" t="s">
        <v>159</v>
      </c>
      <c r="C12" s="30" t="s">
        <v>157</v>
      </c>
      <c r="D12" s="30" t="s">
        <v>158</v>
      </c>
      <c r="E12" s="30" t="s">
        <v>158</v>
      </c>
      <c r="F12" s="30"/>
    </row>
    <row r="13" customFormat="false" ht="15" hidden="false" customHeight="false" outlineLevel="0" collapsed="false">
      <c r="B13" s="28" t="s">
        <v>160</v>
      </c>
      <c r="C13" s="29" t="s">
        <v>161</v>
      </c>
      <c r="D13" s="30" t="s">
        <v>162</v>
      </c>
      <c r="E13" s="30" t="s">
        <v>158</v>
      </c>
      <c r="F13" s="30"/>
    </row>
    <row r="14" customFormat="false" ht="15" hidden="false" customHeight="false" outlineLevel="0" collapsed="false">
      <c r="B14" s="28"/>
      <c r="C14" s="30"/>
      <c r="D14" s="30"/>
      <c r="E14" s="30"/>
      <c r="F14" s="30"/>
    </row>
    <row r="15" customFormat="false" ht="15" hidden="false" customHeight="false" outlineLevel="0" collapsed="false">
      <c r="B15" s="28" t="s">
        <v>163</v>
      </c>
      <c r="C15" s="30" t="s">
        <v>164</v>
      </c>
      <c r="D15" s="30" t="s">
        <v>165</v>
      </c>
      <c r="E15" s="30" t="s">
        <v>166</v>
      </c>
      <c r="F15" s="30"/>
    </row>
    <row r="16" customFormat="false" ht="15" hidden="false" customHeight="false" outlineLevel="0" collapsed="false">
      <c r="B16" s="28" t="s">
        <v>167</v>
      </c>
      <c r="C16" s="30" t="s">
        <v>168</v>
      </c>
      <c r="D16" s="30" t="s">
        <v>169</v>
      </c>
      <c r="E16" s="30" t="s">
        <v>170</v>
      </c>
      <c r="F16" s="30"/>
    </row>
    <row r="17" customFormat="false" ht="15" hidden="false" customHeight="false" outlineLevel="0" collapsed="false">
      <c r="B17" s="28" t="s">
        <v>171</v>
      </c>
      <c r="C17" s="30" t="s">
        <v>172</v>
      </c>
      <c r="D17" s="30" t="s">
        <v>173</v>
      </c>
      <c r="E17" s="30" t="s">
        <v>174</v>
      </c>
      <c r="F17" s="30"/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17.9" hidden="false" customHeight="false" outlineLevel="0" collapsed="false">
      <c r="B1" s="1" t="s">
        <v>175</v>
      </c>
      <c r="C1" s="1"/>
      <c r="D1" s="1"/>
    </row>
    <row r="3" customFormat="false" ht="15" hidden="false" customHeight="false" outlineLevel="0" collapsed="false">
      <c r="B3" s="3" t="s">
        <v>176</v>
      </c>
      <c r="C3" s="3" t="s">
        <v>177</v>
      </c>
      <c r="D3" s="3" t="s">
        <v>178</v>
      </c>
    </row>
    <row r="4" customFormat="false" ht="15" hidden="false" customHeight="false" outlineLevel="0" collapsed="false">
      <c r="B4" s="7" t="s">
        <v>179</v>
      </c>
      <c r="C4" s="7"/>
      <c r="D4" s="7"/>
    </row>
    <row r="5" customFormat="false" ht="15" hidden="false" customHeight="false" outlineLevel="0" collapsed="false">
      <c r="B5" s="13" t="s">
        <v>180</v>
      </c>
      <c r="C5" s="13" t="s">
        <v>181</v>
      </c>
      <c r="D5" s="13" t="s">
        <v>182</v>
      </c>
    </row>
    <row r="6" customFormat="false" ht="15" hidden="false" customHeight="false" outlineLevel="0" collapsed="false">
      <c r="B6" s="13" t="s">
        <v>183</v>
      </c>
      <c r="C6" s="13" t="s">
        <v>184</v>
      </c>
      <c r="D6" s="5" t="s">
        <v>185</v>
      </c>
    </row>
    <row r="7" customFormat="false" ht="15" hidden="false" customHeight="false" outlineLevel="0" collapsed="false">
      <c r="B7" s="13" t="s">
        <v>186</v>
      </c>
      <c r="C7" s="13" t="s">
        <v>187</v>
      </c>
      <c r="D7" s="5" t="s">
        <v>188</v>
      </c>
    </row>
    <row r="8" customFormat="false" ht="15" hidden="false" customHeight="false" outlineLevel="0" collapsed="false">
      <c r="B8" s="5"/>
      <c r="C8" s="5"/>
      <c r="D8" s="5"/>
    </row>
    <row r="9" customFormat="false" ht="15" hidden="false" customHeight="false" outlineLevel="0" collapsed="false">
      <c r="B9" s="7" t="s">
        <v>189</v>
      </c>
      <c r="C9" s="7"/>
      <c r="D9" s="7"/>
    </row>
    <row r="10" customFormat="false" ht="15" hidden="false" customHeight="false" outlineLevel="0" collapsed="false">
      <c r="B10" s="13" t="s">
        <v>190</v>
      </c>
      <c r="C10" s="13" t="s">
        <v>181</v>
      </c>
      <c r="D10" s="5" t="s">
        <v>191</v>
      </c>
    </row>
    <row r="11" customFormat="false" ht="15" hidden="false" customHeight="false" outlineLevel="0" collapsed="false">
      <c r="B11" s="13" t="s">
        <v>192</v>
      </c>
      <c r="C11" s="13" t="s">
        <v>184</v>
      </c>
      <c r="D11" s="5" t="s">
        <v>191</v>
      </c>
    </row>
    <row r="12" customFormat="false" ht="15" hidden="false" customHeight="false" outlineLevel="0" collapsed="false">
      <c r="B12" s="13" t="s">
        <v>193</v>
      </c>
      <c r="C12" s="13" t="s">
        <v>187</v>
      </c>
      <c r="D12" s="5" t="s">
        <v>194</v>
      </c>
    </row>
    <row r="13" customFormat="false" ht="15" hidden="false" customHeight="false" outlineLevel="0" collapsed="false">
      <c r="B13" s="5"/>
      <c r="C13" s="5"/>
      <c r="D13" s="5"/>
    </row>
    <row r="14" customFormat="false" ht="15" hidden="false" customHeight="false" outlineLevel="0" collapsed="false">
      <c r="B14" s="7" t="s">
        <v>195</v>
      </c>
      <c r="C14" s="7"/>
      <c r="D14" s="7"/>
    </row>
    <row r="15" customFormat="false" ht="15" hidden="false" customHeight="false" outlineLevel="0" collapsed="false">
      <c r="B15" s="5" t="s">
        <v>196</v>
      </c>
      <c r="C15" s="13" t="s">
        <v>197</v>
      </c>
      <c r="D15" s="5" t="s">
        <v>198</v>
      </c>
    </row>
    <row r="16" customFormat="false" ht="15" hidden="false" customHeight="false" outlineLevel="0" collapsed="false">
      <c r="B16" s="5" t="s">
        <v>199</v>
      </c>
      <c r="C16" s="13" t="s">
        <v>197</v>
      </c>
      <c r="D16" s="13" t="s">
        <v>200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2026-02-15T00:45:52Z</dcterms:created>
  <dc:creator>openpyxl</dc:creator>
  <dc:description/>
  <dc:language>en-US</dc:language>
  <cp:lastModifiedBy/>
  <dcterms:modified xsi:type="dcterms:W3CDTF">2026-02-15T00:45:52Z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