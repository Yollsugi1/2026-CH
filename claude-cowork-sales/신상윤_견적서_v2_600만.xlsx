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브랜드별 제공 범위" sheetId="2" state="visible" r:id="rId4"/>
    <sheet name="단가 참고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<sst xmlns="http://schemas.openxmlformats.org/spreadsheetml/2006/main" count="217" uniqueCount="108">
  <si>
    <r>
      <rPr>
        <b val="true"/>
        <sz val="14"/>
        <rFont val="DejaVu Sans"/>
        <family val="2"/>
      </rPr>
      <t xml:space="preserve">크리에이터후드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DejaVu Sans"/>
        <family val="2"/>
      </rPr>
      <t xml:space="preserve">신상윤 — </t>
    </r>
    <r>
      <rPr>
        <b val="true"/>
        <sz val="14"/>
        <rFont val="Arial"/>
        <family val="0"/>
        <charset val="1"/>
      </rPr>
      <t xml:space="preserve">SNS </t>
    </r>
    <r>
      <rPr>
        <b val="true"/>
        <sz val="14"/>
        <rFont val="DejaVu Sans"/>
        <family val="2"/>
      </rPr>
      <t xml:space="preserve">대행 견적서</t>
    </r>
  </si>
  <si>
    <r>
      <rPr>
        <sz val="10"/>
        <color rgb="FF6B7280"/>
        <rFont val="DejaVu Sans"/>
        <family val="2"/>
      </rPr>
      <t xml:space="preserve">로켓츠 </t>
    </r>
    <r>
      <rPr>
        <sz val="10"/>
        <color rgb="FF6B7280"/>
        <rFont val="Arial"/>
        <family val="0"/>
        <charset val="1"/>
      </rPr>
      <t xml:space="preserve">+ </t>
    </r>
    <r>
      <rPr>
        <sz val="10"/>
        <color rgb="FF6B7280"/>
        <rFont val="DejaVu Sans"/>
        <family val="2"/>
      </rPr>
      <t xml:space="preserve">박스페이스 </t>
    </r>
    <r>
      <rPr>
        <sz val="10"/>
        <color rgb="FF6B7280"/>
        <rFont val="Arial"/>
        <family val="0"/>
        <charset val="1"/>
      </rPr>
      <t xml:space="preserve">| </t>
    </r>
    <r>
      <rPr>
        <sz val="10"/>
        <color rgb="FF6B7280"/>
        <rFont val="DejaVu Sans"/>
        <family val="2"/>
      </rPr>
      <t xml:space="preserve">월 ₩</t>
    </r>
    <r>
      <rPr>
        <sz val="10"/>
        <color rgb="FF6B7280"/>
        <rFont val="Arial"/>
        <family val="0"/>
        <charset val="1"/>
      </rPr>
      <t xml:space="preserve">600</t>
    </r>
    <r>
      <rPr>
        <sz val="10"/>
        <color rgb="FF6B7280"/>
        <rFont val="DejaVu Sans"/>
        <family val="2"/>
      </rPr>
      <t xml:space="preserve">만 </t>
    </r>
    <r>
      <rPr>
        <sz val="10"/>
        <color rgb="FF6B7280"/>
        <rFont val="Arial"/>
        <family val="0"/>
        <charset val="1"/>
      </rPr>
      <t xml:space="preserve">(VAT </t>
    </r>
    <r>
      <rPr>
        <sz val="10"/>
        <color rgb="FF6B7280"/>
        <rFont val="DejaVu Sans"/>
        <family val="2"/>
      </rPr>
      <t xml:space="preserve">별도</t>
    </r>
    <r>
      <rPr>
        <sz val="10"/>
        <color rgb="FF6B7280"/>
        <rFont val="Arial"/>
        <family val="0"/>
        <charset val="1"/>
      </rPr>
      <t xml:space="preserve">) | </t>
    </r>
    <r>
      <rPr>
        <sz val="10"/>
        <color rgb="FF6B7280"/>
        <rFont val="DejaVu Sans"/>
        <family val="2"/>
      </rPr>
      <t xml:space="preserve">브랜드당 릴스 </t>
    </r>
    <r>
      <rPr>
        <sz val="10"/>
        <color rgb="FF6B7280"/>
        <rFont val="Arial"/>
        <family val="0"/>
        <charset val="1"/>
      </rPr>
      <t xml:space="preserve">12</t>
    </r>
    <r>
      <rPr>
        <sz val="10"/>
        <color rgb="FF6B7280"/>
        <rFont val="DejaVu Sans"/>
        <family val="2"/>
      </rPr>
      <t xml:space="preserve">건 </t>
    </r>
    <r>
      <rPr>
        <sz val="10"/>
        <color rgb="FF6B7280"/>
        <rFont val="Arial"/>
        <family val="0"/>
        <charset val="1"/>
      </rPr>
      <t xml:space="preserve">+ </t>
    </r>
    <r>
      <rPr>
        <sz val="10"/>
        <color rgb="FF6B7280"/>
        <rFont val="DejaVu Sans"/>
        <family val="2"/>
      </rPr>
      <t xml:space="preserve">채널 관리</t>
    </r>
  </si>
  <si>
    <t xml:space="preserve">서비스 항목</t>
  </si>
  <si>
    <t xml:space="preserve">단위</t>
  </si>
  <si>
    <t xml:space="preserve">건수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</si>
  <si>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로켓츠 </t>
    </r>
    <r>
      <rPr>
        <b val="true"/>
        <sz val="10"/>
        <color rgb="FFFFFFFF"/>
        <rFont val="Arial"/>
        <family val="0"/>
        <charset val="1"/>
      </rPr>
      <t xml:space="preserve">400 / </t>
    </r>
    <r>
      <rPr>
        <b val="true"/>
        <sz val="10"/>
        <color rgb="FFFFFFFF"/>
        <rFont val="DejaVu Sans"/>
        <family val="2"/>
      </rPr>
      <t xml:space="preserve">박스 </t>
    </r>
    <r>
      <rPr>
        <b val="true"/>
        <sz val="10"/>
        <color rgb="FFFFFFFF"/>
        <rFont val="Arial"/>
        <family val="0"/>
        <charset val="1"/>
      </rPr>
      <t xml:space="preserve">200)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</si>
  <si>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로켓츠 </t>
    </r>
    <r>
      <rPr>
        <b val="true"/>
        <sz val="10"/>
        <color rgb="FFFFFFFF"/>
        <rFont val="Arial"/>
        <family val="0"/>
        <charset val="1"/>
      </rPr>
      <t xml:space="preserve">350 / </t>
    </r>
    <r>
      <rPr>
        <b val="true"/>
        <sz val="10"/>
        <color rgb="FFFFFFFF"/>
        <rFont val="DejaVu Sans"/>
        <family val="2"/>
      </rPr>
      <t xml:space="preserve">박스 </t>
    </r>
    <r>
      <rPr>
        <b val="true"/>
        <sz val="10"/>
        <color rgb="FFFFFFFF"/>
        <rFont val="Arial"/>
        <family val="0"/>
        <charset val="1"/>
      </rPr>
      <t xml:space="preserve">250)</t>
    </r>
  </si>
  <si>
    <t xml:space="preserve">예산 배분</t>
  </si>
  <si>
    <r>
      <rPr>
        <b val="true"/>
        <sz val="10"/>
        <color rgb="FF1E40AF"/>
        <rFont val="Arial"/>
        <family val="0"/>
        <charset val="1"/>
      </rPr>
      <t xml:space="preserve">1. </t>
    </r>
    <r>
      <rPr>
        <b val="true"/>
        <sz val="10"/>
        <color rgb="FF1E40AF"/>
        <rFont val="DejaVu Sans"/>
        <family val="2"/>
      </rPr>
      <t xml:space="preserve">채널 기획</t>
    </r>
  </si>
  <si>
    <t xml:space="preserve">  인스타그램 채널 방향성 및 브랜딩 설계</t>
  </si>
  <si>
    <t xml:space="preserve">채널</t>
  </si>
  <si>
    <t xml:space="preserve">포함</t>
  </si>
  <si>
    <t xml:space="preserve">  전체 콘텐츠 방향성 수립</t>
  </si>
  <si>
    <t xml:space="preserve">  월간 콘텐츠 캘린더</t>
  </si>
  <si>
    <t xml:space="preserve">월</t>
  </si>
  <si>
    <r>
      <rPr>
        <b val="true"/>
        <sz val="10"/>
        <color rgb="FF1E40AF"/>
        <rFont val="Arial"/>
        <family val="0"/>
        <charset val="1"/>
      </rPr>
      <t xml:space="preserve">2. </t>
    </r>
    <r>
      <rPr>
        <b val="true"/>
        <sz val="10"/>
        <color rgb="FF1E40AF"/>
        <rFont val="DejaVu Sans"/>
        <family val="2"/>
      </rPr>
      <t xml:space="preserve">릴스 콘텐츠 제작</t>
    </r>
  </si>
  <si>
    <r>
      <rPr>
        <sz val="10"/>
        <rFont val="DejaVu Sans"/>
        <family val="2"/>
      </rPr>
      <t xml:space="preserve">  기획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콘셉트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시나리오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</si>
  <si>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</si>
  <si>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t xml:space="preserve">  촬영</t>
  </si>
  <si>
    <r>
      <rPr>
        <sz val="10"/>
        <rFont val="DejaVu Sans"/>
        <family val="2"/>
      </rPr>
      <t xml:space="preserve">  편집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음악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컬러</t>
    </r>
    <r>
      <rPr>
        <sz val="10"/>
        <rFont val="Arial"/>
        <family val="0"/>
        <charset val="1"/>
      </rPr>
      <t xml:space="preserve">)</t>
    </r>
  </si>
  <si>
    <t xml:space="preserve">  → 릴스 소계</t>
  </si>
  <si>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월</t>
    </r>
  </si>
  <si>
    <r>
      <rPr>
        <b val="true"/>
        <sz val="10"/>
        <color rgb="FF1E40AF"/>
        <rFont val="Arial"/>
        <family val="0"/>
        <charset val="1"/>
      </rPr>
      <t xml:space="preserve">3. </t>
    </r>
    <r>
      <rPr>
        <b val="true"/>
        <sz val="10"/>
        <color rgb="FF1E40AF"/>
        <rFont val="DejaVu Sans"/>
        <family val="2"/>
      </rPr>
      <t xml:space="preserve">채널 관리</t>
    </r>
  </si>
  <si>
    <r>
      <rPr>
        <sz val="10"/>
        <rFont val="DejaVu Sans"/>
        <family val="2"/>
      </rPr>
      <t xml:space="preserve">  업로드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릴스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</si>
  <si>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  업로드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캐러셀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스토리</t>
    </r>
    <r>
      <rPr>
        <sz val="10"/>
        <rFont val="Arial"/>
        <family val="0"/>
        <charset val="1"/>
      </rPr>
      <t xml:space="preserve">)</t>
    </r>
  </si>
  <si>
    <t xml:space="preserve">  월별 지표 보고 및 제안</t>
  </si>
  <si>
    <r>
      <rPr>
        <b val="true"/>
        <sz val="10"/>
        <color rgb="FF16A34A"/>
        <rFont val="Arial"/>
        <family val="0"/>
        <charset val="1"/>
      </rPr>
      <t xml:space="preserve">4. </t>
    </r>
    <r>
      <rPr>
        <b val="true"/>
        <sz val="10"/>
        <color rgb="FF16A34A"/>
        <rFont val="DejaVu Sans"/>
        <family val="2"/>
      </rPr>
      <t xml:space="preserve">캐러셀 콘텐츠 제작 </t>
    </r>
    <r>
      <rPr>
        <b val="true"/>
        <sz val="10"/>
        <color rgb="FF16A34A"/>
        <rFont val="Arial"/>
        <family val="0"/>
        <charset val="1"/>
      </rPr>
      <t xml:space="preserve">(+α)</t>
    </r>
  </si>
  <si>
    <r>
      <rPr>
        <sz val="10"/>
        <rFont val="DejaVu Sans"/>
        <family val="2"/>
      </rPr>
      <t xml:space="preserve">  홍보성 캐러셀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매거진형 포스트</t>
    </r>
  </si>
  <si>
    <r>
      <rPr>
        <sz val="9"/>
        <color rgb="FF6B7280"/>
        <rFont val="Arial"/>
        <family val="0"/>
        <charset val="1"/>
      </rPr>
      <t xml:space="preserve">  (</t>
    </r>
    <r>
      <rPr>
        <sz val="9"/>
        <color rgb="FF6B7280"/>
        <rFont val="DejaVu Sans"/>
        <family val="2"/>
      </rPr>
      <t xml:space="preserve">기획 </t>
    </r>
    <r>
      <rPr>
        <sz val="9"/>
        <color rgb="FF6B7280"/>
        <rFont val="Arial"/>
        <family val="0"/>
        <charset val="1"/>
      </rPr>
      <t xml:space="preserve">+ </t>
    </r>
    <r>
      <rPr>
        <sz val="9"/>
        <color rgb="FF6B7280"/>
        <rFont val="DejaVu Sans"/>
        <family val="2"/>
      </rPr>
      <t xml:space="preserve">디자인</t>
    </r>
    <r>
      <rPr>
        <sz val="9"/>
        <color rgb="FF6B7280"/>
        <rFont val="Arial"/>
        <family val="0"/>
        <charset val="1"/>
      </rPr>
      <t xml:space="preserve">/</t>
    </r>
    <r>
      <rPr>
        <sz val="9"/>
        <color rgb="FF6B7280"/>
        <rFont val="DejaVu Sans"/>
        <family val="2"/>
      </rPr>
      <t xml:space="preserve">편집 </t>
    </r>
    <r>
      <rPr>
        <sz val="9"/>
        <color rgb="FF6B7280"/>
        <rFont val="Arial"/>
        <family val="0"/>
        <charset val="1"/>
      </rPr>
      <t xml:space="preserve">+ </t>
    </r>
    <r>
      <rPr>
        <sz val="9"/>
        <color rgb="FF6B7280"/>
        <rFont val="DejaVu Sans"/>
        <family val="2"/>
      </rPr>
      <t xml:space="preserve">카피</t>
    </r>
    <r>
      <rPr>
        <sz val="9"/>
        <color rgb="FF6B72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</si>
  <si>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월 금액 </t>
    </r>
    <r>
      <rPr>
        <b val="true"/>
        <sz val="11"/>
        <color rgb="FFFFFFFF"/>
        <rFont val="Arial"/>
        <family val="0"/>
        <charset val="1"/>
      </rPr>
      <t xml:space="preserve">(VAT </t>
    </r>
    <r>
      <rPr>
        <b val="true"/>
        <sz val="11"/>
        <color rgb="FFFFFFFF"/>
        <rFont val="DejaVu Sans"/>
        <family val="2"/>
      </rPr>
      <t xml:space="preserve">별도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</si>
  <si>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VAT (10%)</t>
  </si>
  <si>
    <r>
      <rPr>
        <b val="true"/>
        <sz val="10"/>
        <rFont val="DejaVu Sans"/>
        <family val="2"/>
      </rPr>
      <t xml:space="preserve">월 합계 </t>
    </r>
    <r>
      <rPr>
        <b val="true"/>
        <sz val="10"/>
        <rFont val="Arial"/>
        <family val="0"/>
        <charset val="1"/>
      </rPr>
      <t xml:space="preserve">(VAT </t>
    </r>
    <r>
      <rPr>
        <b val="true"/>
        <sz val="10"/>
        <rFont val="DejaVu Sans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</si>
  <si>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개월 파일럿 총액 </t>
    </r>
    <r>
      <rPr>
        <b val="true"/>
        <sz val="10"/>
        <rFont val="Arial"/>
        <family val="0"/>
        <charset val="1"/>
      </rPr>
      <t xml:space="preserve">(VAT </t>
    </r>
    <r>
      <rPr>
        <b val="true"/>
        <sz val="10"/>
        <rFont val="DejaVu Sans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</si>
  <si>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t xml:space="preserve">📌 단가 분석</t>
  </si>
  <si>
    <r>
      <rPr>
        <sz val="10"/>
        <rFont val="DejaVu Sans"/>
        <family val="2"/>
      </rPr>
      <t xml:space="preserve">  릴스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건당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제작비만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</si>
  <si>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  전체 서비스 포함 건당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릴스 기준</t>
    </r>
    <r>
      <rPr>
        <sz val="10"/>
        <rFont val="Arial"/>
        <family val="0"/>
        <charset val="1"/>
      </rPr>
      <t xml:space="preserve">)</t>
    </r>
  </si>
  <si>
    <r>
      <rPr>
        <sz val="9"/>
        <color rgb="FF6B7280"/>
        <rFont val="Arial"/>
        <family val="0"/>
        <charset val="1"/>
      </rPr>
      <t xml:space="preserve">  (</t>
    </r>
    <r>
      <rPr>
        <sz val="9"/>
        <color rgb="FF6B7280"/>
        <rFont val="DejaVu Sans"/>
        <family val="2"/>
      </rPr>
      <t xml:space="preserve">기획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촬영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편집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관리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채널운영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캐러셀 모두 포함</t>
    </r>
    <r>
      <rPr>
        <sz val="9"/>
        <color rgb="FF6B7280"/>
        <rFont val="Arial"/>
        <family val="0"/>
        <charset val="1"/>
      </rPr>
      <t xml:space="preserve">)</t>
    </r>
  </si>
  <si>
    <r>
      <rPr>
        <b val="true"/>
        <sz val="10"/>
        <color rgb="FF1E40AF"/>
        <rFont val="Arial"/>
        <family val="0"/>
        <charset val="1"/>
      </rPr>
      <t xml:space="preserve">📌 A</t>
    </r>
    <r>
      <rPr>
        <b val="true"/>
        <sz val="10"/>
        <color rgb="FF1E40AF"/>
        <rFont val="DejaVu Sans"/>
        <family val="2"/>
      </rPr>
      <t xml:space="preserve">안 </t>
    </r>
    <r>
      <rPr>
        <b val="true"/>
        <sz val="10"/>
        <color rgb="FF1E40AF"/>
        <rFont val="Arial"/>
        <family val="0"/>
        <charset val="1"/>
      </rPr>
      <t xml:space="preserve">vs B</t>
    </r>
    <r>
      <rPr>
        <b val="true"/>
        <sz val="10"/>
        <color rgb="FF1E40AF"/>
        <rFont val="DejaVu Sans"/>
        <family val="2"/>
      </rPr>
      <t xml:space="preserve">안 비교</t>
    </r>
  </si>
  <si>
    <t xml:space="preserve">  로켓츠 비중</t>
  </si>
  <si>
    <t xml:space="preserve">  박스페이스 비중</t>
  </si>
  <si>
    <r>
      <rPr>
        <sz val="10"/>
        <rFont val="DejaVu Sans"/>
        <family val="2"/>
      </rPr>
      <t xml:space="preserve">  캐러셀 </t>
    </r>
    <r>
      <rPr>
        <sz val="10"/>
        <rFont val="Arial"/>
        <family val="0"/>
        <charset val="1"/>
      </rPr>
      <t xml:space="preserve">+α (</t>
    </r>
    <r>
      <rPr>
        <sz val="10"/>
        <rFont val="DejaVu Sans"/>
        <family val="2"/>
      </rPr>
      <t xml:space="preserve">로켓츠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박스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</si>
  <si>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</si>
  <si>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</si>
  <si>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건</t>
    </r>
  </si>
  <si>
    <t xml:space="preserve">  특징</t>
  </si>
  <si>
    <t xml:space="preserve">로켓츠 집중 투자</t>
  </si>
  <si>
    <t xml:space="preserve">균형 배분</t>
  </si>
  <si>
    <t xml:space="preserve">브랜드별 제공 범위 상세</t>
  </si>
  <si>
    <r>
      <rPr>
        <sz val="10"/>
        <color rgb="FF6B7280"/>
        <rFont val="DejaVu Sans"/>
        <family val="2"/>
      </rPr>
      <t xml:space="preserve">상윤님께 전달용 — </t>
    </r>
    <r>
      <rPr>
        <sz val="10"/>
        <color rgb="FF6B7280"/>
        <rFont val="Arial"/>
        <family val="0"/>
        <charset val="1"/>
      </rPr>
      <t xml:space="preserve">"</t>
    </r>
    <r>
      <rPr>
        <sz val="10"/>
        <color rgb="FF6B7280"/>
        <rFont val="DejaVu Sans"/>
        <family val="2"/>
      </rPr>
      <t xml:space="preserve">이만큼 해드립니다</t>
    </r>
    <r>
      <rPr>
        <sz val="10"/>
        <color rgb="FF6B7280"/>
        <rFont val="Arial"/>
        <family val="0"/>
        <charset val="1"/>
      </rPr>
      <t xml:space="preserve">"</t>
    </r>
  </si>
  <si>
    <t xml:space="preserve">구분</t>
  </si>
  <si>
    <r>
      <rPr>
        <b val="true"/>
        <sz val="10"/>
        <color rgb="FFFFFFFF"/>
        <rFont val="DejaVu Sans"/>
        <family val="2"/>
      </rPr>
      <t xml:space="preserve">수량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빈도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</si>
  <si>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안 </t>
    </r>
    <r>
      <rPr>
        <b val="true"/>
        <sz val="10"/>
        <color rgb="FFFFFFFF"/>
        <rFont val="Arial"/>
        <family val="0"/>
        <charset val="1"/>
      </rPr>
      <t xml:space="preserve">(400/200)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</si>
  <si>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안 </t>
    </r>
    <r>
      <rPr>
        <b val="true"/>
        <sz val="10"/>
        <color rgb="FFFFFFFF"/>
        <rFont val="Arial"/>
        <family val="0"/>
        <charset val="1"/>
      </rPr>
      <t xml:space="preserve">(350/250)</t>
    </r>
  </si>
  <si>
    <t xml:space="preserve">로켓츠</t>
  </si>
  <si>
    <t xml:space="preserve">  채널 방향성 및 브랜딩</t>
  </si>
  <si>
    <r>
      <rPr>
        <sz val="10"/>
        <rFont val="DejaVu Sans"/>
        <family val="2"/>
      </rPr>
      <t xml:space="preserve">초기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분기 리뷰</t>
    </r>
  </si>
  <si>
    <t xml:space="preserve">  콘텐츠 방향성 수립</t>
  </si>
  <si>
    <t xml:space="preserve">월간</t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</si>
  <si>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</si>
  <si>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</si>
  <si>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</si>
  <si>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  업로드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릴스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캐러셀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스토리</t>
    </r>
    <r>
      <rPr>
        <sz val="10"/>
        <rFont val="Arial"/>
        <family val="0"/>
        <charset val="1"/>
      </rPr>
      <t xml:space="preserve">)</t>
    </r>
  </si>
  <si>
    <t xml:space="preserve">상시</t>
  </si>
  <si>
    <r>
      <rPr>
        <sz val="10"/>
        <rFont val="DejaVu Sans"/>
        <family val="2"/>
      </rPr>
      <t xml:space="preserve">  월별 지표 보고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제안</t>
    </r>
  </si>
  <si>
    <r>
      <rPr>
        <b val="true"/>
        <sz val="10"/>
        <color rgb="FF16A34A"/>
        <rFont val="Arial"/>
        <family val="0"/>
        <charset val="1"/>
      </rPr>
      <t xml:space="preserve">4. </t>
    </r>
    <r>
      <rPr>
        <b val="true"/>
        <sz val="10"/>
        <color rgb="FF16A34A"/>
        <rFont val="DejaVu Sans"/>
        <family val="2"/>
      </rPr>
      <t xml:space="preserve">캐러셀 콘텐츠 </t>
    </r>
    <r>
      <rPr>
        <b val="true"/>
        <sz val="10"/>
        <color rgb="FF16A34A"/>
        <rFont val="Arial"/>
        <family val="0"/>
        <charset val="1"/>
      </rPr>
      <t xml:space="preserve">(+α)</t>
    </r>
  </si>
  <si>
    <r>
      <rPr>
        <sz val="10"/>
        <rFont val="DejaVu Sans"/>
        <family val="2"/>
      </rPr>
      <t xml:space="preserve">  홍보성 캐러셀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매거진형 포스트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</si>
  <si>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</si>
  <si>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</si>
  <si>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t xml:space="preserve">  월 예산</t>
  </si>
  <si>
    <r>
      <rPr>
        <b val="true"/>
        <sz val="10"/>
        <color rgb="FFD97706"/>
        <rFont val="Arial"/>
        <family val="0"/>
        <charset val="1"/>
      </rPr>
      <t xml:space="preserve">₩400</t>
    </r>
    <r>
      <rPr>
        <b val="true"/>
        <sz val="10"/>
        <color rgb="FFD97706"/>
        <rFont val="DejaVu Sans"/>
        <family val="2"/>
      </rPr>
      <t xml:space="preserve">만</t>
    </r>
  </si>
  <si>
    <r>
      <rPr>
        <b val="true"/>
        <sz val="10"/>
        <color rgb="FFD97706"/>
        <rFont val="Arial"/>
        <family val="0"/>
        <charset val="1"/>
      </rPr>
      <t xml:space="preserve">₩350</t>
    </r>
    <r>
      <rPr>
        <b val="true"/>
        <sz val="10"/>
        <color rgb="FFD97706"/>
        <rFont val="DejaVu Sans"/>
        <family val="2"/>
      </rPr>
      <t xml:space="preserve">만</t>
    </r>
  </si>
  <si>
    <t xml:space="preserve">박스
페이스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</si>
  <si>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</si>
  <si>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b val="true"/>
        <sz val="10"/>
        <color rgb="FFD97706"/>
        <rFont val="Arial"/>
        <family val="0"/>
        <charset val="1"/>
      </rPr>
      <t xml:space="preserve">₩200</t>
    </r>
    <r>
      <rPr>
        <b val="true"/>
        <sz val="10"/>
        <color rgb="FFD97706"/>
        <rFont val="DejaVu Sans"/>
        <family val="2"/>
      </rPr>
      <t xml:space="preserve">만</t>
    </r>
  </si>
  <si>
    <r>
      <rPr>
        <b val="true"/>
        <sz val="10"/>
        <color rgb="FFD97706"/>
        <rFont val="Arial"/>
        <family val="0"/>
        <charset val="1"/>
      </rPr>
      <t xml:space="preserve">₩250</t>
    </r>
    <r>
      <rPr>
        <b val="true"/>
        <sz val="10"/>
        <color rgb="FFD97706"/>
        <rFont val="DejaVu Sans"/>
        <family val="2"/>
      </rPr>
      <t xml:space="preserve">만</t>
    </r>
  </si>
  <si>
    <r>
      <rPr>
        <b val="true"/>
        <sz val="11"/>
        <color rgb="FFFFFFFF"/>
        <rFont val="DejaVu Sans"/>
        <family val="2"/>
      </rPr>
      <t xml:space="preserve">합계 </t>
    </r>
    <r>
      <rPr>
        <b val="true"/>
        <sz val="11"/>
        <color rgb="FFFFFFFF"/>
        <rFont val="Arial"/>
        <family val="0"/>
        <charset val="1"/>
      </rPr>
      <t xml:space="preserve">(VAT </t>
    </r>
    <r>
      <rPr>
        <b val="true"/>
        <sz val="11"/>
        <color rgb="FFFFFFFF"/>
        <rFont val="DejaVu Sans"/>
        <family val="2"/>
      </rPr>
      <t xml:space="preserve">별도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</si>
  <si>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₩600</t>
    </r>
    <r>
      <rPr>
        <b val="true"/>
        <sz val="11"/>
        <color rgb="FFFFFFFF"/>
        <rFont val="DejaVu Sans"/>
        <family val="2"/>
      </rPr>
      <t xml:space="preserve">만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월</t>
    </r>
  </si>
  <si>
    <t xml:space="preserve">서비스 단가 참고표</t>
  </si>
  <si>
    <t xml:space="preserve">항목</t>
  </si>
  <si>
    <r>
      <rPr>
        <b val="true"/>
        <sz val="10"/>
        <color rgb="FFFFFFFF"/>
        <rFont val="DejaVu Sans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(₩)</t>
    </r>
  </si>
  <si>
    <t xml:space="preserve">비고</t>
  </si>
  <si>
    <r>
      <rPr>
        <sz val="10"/>
        <rFont val="DejaVu Sans"/>
        <family val="2"/>
      </rPr>
      <t xml:space="preserve">릴스 </t>
    </r>
    <r>
      <rPr>
        <sz val="10"/>
        <rFont val="Arial"/>
        <family val="0"/>
        <charset val="1"/>
      </rPr>
      <t xml:space="preserve">(Simple — </t>
    </r>
    <r>
      <rPr>
        <sz val="10"/>
        <rFont val="DejaVu Sans"/>
        <family val="2"/>
      </rPr>
      <t xml:space="preserve">소스 편집</t>
    </r>
    <r>
      <rPr>
        <sz val="10"/>
        <rFont val="Arial"/>
        <family val="0"/>
        <charset val="1"/>
      </rPr>
      <t xml:space="preserve">)</t>
    </r>
  </si>
  <si>
    <t xml:space="preserve">건</t>
  </si>
  <si>
    <r>
      <rPr>
        <sz val="10"/>
        <rFont val="DejaVu Sans"/>
        <family val="2"/>
      </rPr>
      <t xml:space="preserve">그래픽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텍스트 기반</t>
    </r>
  </si>
  <si>
    <r>
      <rPr>
        <sz val="10"/>
        <rFont val="DejaVu Sans"/>
        <family val="2"/>
      </rPr>
      <t xml:space="preserve">릴스 </t>
    </r>
    <r>
      <rPr>
        <sz val="10"/>
        <rFont val="Arial"/>
        <family val="0"/>
        <charset val="1"/>
      </rPr>
      <t xml:space="preserve">(Standard — </t>
    </r>
    <r>
      <rPr>
        <sz val="10"/>
        <rFont val="DejaVu Sans"/>
        <family val="2"/>
      </rPr>
      <t xml:space="preserve">촬영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</si>
  <si>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현장 촬영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편집</t>
    </r>
  </si>
  <si>
    <r>
      <rPr>
        <sz val="10"/>
        <rFont val="DejaVu Sans"/>
        <family val="2"/>
      </rPr>
      <t xml:space="preserve">릴스 </t>
    </r>
    <r>
      <rPr>
        <sz val="10"/>
        <rFont val="Arial"/>
        <family val="0"/>
        <charset val="1"/>
      </rPr>
      <t xml:space="preserve">(Premium — </t>
    </r>
    <r>
      <rPr>
        <sz val="10"/>
        <rFont val="DejaVu Sans"/>
        <family val="2"/>
      </rPr>
      <t xml:space="preserve">시네마틱</t>
    </r>
    <r>
      <rPr>
        <sz val="10"/>
        <rFont val="Arial"/>
        <family val="0"/>
        <charset val="1"/>
      </rPr>
      <t xml:space="preserve">)</t>
    </r>
  </si>
  <si>
    <t xml:space="preserve">아트 디렉션</t>
  </si>
  <si>
    <r>
      <rPr>
        <sz val="10"/>
        <rFont val="DejaVu Sans"/>
        <family val="2"/>
      </rPr>
      <t xml:space="preserve">캐러셀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디자인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카피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</si>
  <si>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매거진형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홍보형</t>
    </r>
  </si>
  <si>
    <r>
      <rPr>
        <sz val="10"/>
        <rFont val="DejaVu Sans"/>
        <family val="2"/>
      </rPr>
      <t xml:space="preserve">캐러셀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사진 촬영 포함</t>
    </r>
    <r>
      <rPr>
        <sz val="10"/>
        <rFont val="Arial"/>
        <family val="0"/>
        <charset val="1"/>
      </rPr>
      <t xml:space="preserve">)</t>
    </r>
  </si>
  <si>
    <t xml:space="preserve">촬영 동반 시</t>
  </si>
  <si>
    <r>
      <rPr>
        <sz val="10"/>
        <rFont val="DejaVu Sans"/>
        <family val="2"/>
      </rPr>
      <t xml:space="preserve">인스타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단일 채널</t>
    </r>
    <r>
      <rPr>
        <sz val="10"/>
        <rFont val="Arial"/>
        <family val="0"/>
        <charset val="1"/>
      </rPr>
      <t xml:space="preserve">)</t>
    </r>
  </si>
  <si>
    <t xml:space="preserve">기본 운영</t>
  </si>
  <si>
    <r>
      <rPr>
        <sz val="10"/>
        <rFont val="DejaVu Sans"/>
        <family val="2"/>
      </rPr>
      <t xml:space="preserve">인스타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볼륨 할인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</si>
  <si>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채널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</si>
  <si>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 이상</t>
    </r>
  </si>
  <si>
    <t xml:space="preserve">캡션 작성</t>
  </si>
  <si>
    <t xml:space="preserve">해시태그 포함</t>
  </si>
  <si>
    <t xml:space="preserve">스토리 시리즈</t>
  </si>
  <si>
    <t xml:space="preserve">시리즈</t>
  </si>
  <si>
    <r>
      <rPr>
        <sz val="10"/>
        <rFont val="Arial"/>
        <family val="0"/>
        <charset val="1"/>
      </rPr>
      <t xml:space="preserve">5~10</t>
    </r>
    <r>
      <rPr>
        <sz val="10"/>
        <rFont val="DejaVu Sans"/>
        <family val="2"/>
      </rPr>
      <t xml:space="preserve">개 스토리</t>
    </r>
  </si>
  <si>
    <t xml:space="preserve">채널 브랜딩 설계</t>
  </si>
  <si>
    <t xml:space="preserve">초기 방향성 수립</t>
  </si>
  <si>
    <t xml:space="preserve">콘텐츠 전략 수립</t>
  </si>
  <si>
    <r>
      <rPr>
        <sz val="10"/>
        <rFont val="DejaVu Sans"/>
        <family val="2"/>
      </rPr>
      <t xml:space="preserve">캘린더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시리즈 기획</t>
    </r>
  </si>
  <si>
    <t xml:space="preserve">월간 리포트</t>
  </si>
  <si>
    <r>
      <rPr>
        <sz val="10"/>
        <rFont val="DejaVu Sans"/>
        <family val="2"/>
      </rPr>
      <t xml:space="preserve">지표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인사이트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제안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</si>
</sst>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₩#,##0"/>
    <numFmt numFmtId="166" formatCode="0%"/>
    <numFmt numFmtId="167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Arial"/>
      <family val="0"/>
      <charset val="1"/>
    </font>
    <font>
      <sz val="10"/>
      <color rgb="FF6B7280"/>
      <name val="DejaVu Sans"/>
      <family val="2"/>
    </font>
    <font>
      <sz val="10"/>
      <color rgb="FF6B728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D97706"/>
      <name val="DejaVu Sans"/>
      <family val="2"/>
    </font>
    <font>
      <b val="true"/>
      <sz val="10"/>
      <color rgb="FFD97706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1E40A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16A34A"/>
      <name val="DejaVu Sans"/>
      <family val="2"/>
    </font>
    <font>
      <sz val="9"/>
      <color rgb="FF6B7280"/>
      <name val="Arial"/>
      <family val="0"/>
      <charset val="1"/>
    </font>
    <font>
      <sz val="9"/>
      <color rgb="FF6B728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1E40AF"/>
      <name val="DejaVu Sans"/>
      <family val="2"/>
    </font>
    <font>
      <b val="true"/>
      <sz val="12"/>
      <color rgb="FFDC2626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EF3C7"/>
        <bgColor rgb="FFF3F4F6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  <fill>
      <patternFill patternType="solid">
        <fgColor rgb="FFF0FDF4"/>
        <bgColor rgb="FFEFF6FF"/>
      </patternFill>
    </fill>
    <fill>
      <patternFill patternType="solid">
        <fgColor rgb="FF111827"/>
        <bgColor rgb="FF1F293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3F4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111827"/>
      <rgbColor rgb="FF333300"/>
      <rgbColor rgb="FF993300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14"/>
    <col collapsed="false" customWidth="true" hidden="false" outlineLevel="0" max="8" min="5" style="0" width="16"/>
  </cols>
  <sheetData>
    <row r="1" customFormat="false" ht="17.9" hidden="false" customHeight="fals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B4" s="3" t="s">
        <v>2</v>
      </c>
      <c r="C4" s="3" t="s">
        <v>3</v>
      </c>
      <c r="D4" s="3" t="s">
        <v>4</v>
      </c>
      <c r="E4" s="4" t="s">
        <v>5</v>
      </c>
      <c r="F4" s="4"/>
      <c r="G4" s="4" t="s">
        <v>6</v>
      </c>
      <c r="H4" s="4"/>
    </row>
    <row r="5" customFormat="false" ht="15" hidden="false" customHeight="false" outlineLevel="0" collapsed="false">
      <c r="B5" s="5" t="s">
        <v>7</v>
      </c>
      <c r="C5" s="5"/>
      <c r="D5" s="5"/>
      <c r="E5" s="6" t="n">
        <v>4000000</v>
      </c>
      <c r="F5" s="6" t="n">
        <v>2000000</v>
      </c>
      <c r="G5" s="6" t="n">
        <v>3500000</v>
      </c>
      <c r="H5" s="6" t="n">
        <v>2500000</v>
      </c>
    </row>
    <row r="7" customFormat="false" ht="15" hidden="false" customHeight="false" outlineLevel="0" collapsed="false">
      <c r="B7" s="7" t="s">
        <v>8</v>
      </c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B8" s="8" t="s">
        <v>9</v>
      </c>
      <c r="C8" s="9" t="s">
        <v>10</v>
      </c>
      <c r="D8" s="9" t="n">
        <v>1</v>
      </c>
      <c r="E8" s="9" t="s">
        <v>11</v>
      </c>
      <c r="F8" s="9" t="s">
        <v>11</v>
      </c>
      <c r="G8" s="9" t="s">
        <v>11</v>
      </c>
      <c r="H8" s="9" t="s">
        <v>11</v>
      </c>
    </row>
    <row r="9" customFormat="false" ht="15" hidden="false" customHeight="false" outlineLevel="0" collapsed="false">
      <c r="B9" s="8" t="s">
        <v>12</v>
      </c>
      <c r="C9" s="9" t="s">
        <v>10</v>
      </c>
      <c r="D9" s="9" t="n">
        <v>1</v>
      </c>
      <c r="E9" s="9" t="s">
        <v>11</v>
      </c>
      <c r="F9" s="9" t="s">
        <v>11</v>
      </c>
      <c r="G9" s="9" t="s">
        <v>11</v>
      </c>
      <c r="H9" s="9" t="s">
        <v>11</v>
      </c>
    </row>
    <row r="10" customFormat="false" ht="15" hidden="false" customHeight="false" outlineLevel="0" collapsed="false">
      <c r="B10" s="8" t="s">
        <v>13</v>
      </c>
      <c r="C10" s="9" t="s">
        <v>14</v>
      </c>
      <c r="D10" s="9" t="n">
        <v>1</v>
      </c>
      <c r="E10" s="9" t="s">
        <v>11</v>
      </c>
      <c r="F10" s="9" t="s">
        <v>11</v>
      </c>
      <c r="G10" s="9" t="s">
        <v>11</v>
      </c>
      <c r="H10" s="9" t="s">
        <v>11</v>
      </c>
    </row>
    <row r="12" customFormat="false" ht="15" hidden="false" customHeight="false" outlineLevel="0" collapsed="false">
      <c r="B12" s="7" t="s">
        <v>15</v>
      </c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B13" s="8" t="s">
        <v>16</v>
      </c>
      <c r="C13" s="9" t="s">
        <v>17</v>
      </c>
      <c r="D13" s="9" t="n">
        <v>12</v>
      </c>
      <c r="E13" s="9" t="n">
        <v>12</v>
      </c>
      <c r="F13" s="9" t="n">
        <v>12</v>
      </c>
      <c r="G13" s="9" t="n">
        <v>12</v>
      </c>
      <c r="H13" s="9" t="n">
        <v>12</v>
      </c>
    </row>
    <row r="14" customFormat="false" ht="15" hidden="false" customHeight="false" outlineLevel="0" collapsed="false">
      <c r="B14" s="8" t="s">
        <v>18</v>
      </c>
      <c r="C14" s="9" t="s">
        <v>17</v>
      </c>
      <c r="D14" s="9" t="n">
        <v>12</v>
      </c>
      <c r="E14" s="9" t="n">
        <v>12</v>
      </c>
      <c r="F14" s="9" t="n">
        <v>12</v>
      </c>
      <c r="G14" s="9" t="n">
        <v>12</v>
      </c>
      <c r="H14" s="9" t="n">
        <v>12</v>
      </c>
    </row>
    <row r="15" customFormat="false" ht="15" hidden="false" customHeight="false" outlineLevel="0" collapsed="false">
      <c r="B15" s="8" t="s">
        <v>19</v>
      </c>
      <c r="C15" s="9" t="s">
        <v>17</v>
      </c>
      <c r="D15" s="9" t="n">
        <v>12</v>
      </c>
      <c r="E15" s="9" t="n">
        <v>12</v>
      </c>
      <c r="F15" s="9" t="n">
        <v>12</v>
      </c>
      <c r="G15" s="9" t="n">
        <v>12</v>
      </c>
      <c r="H15" s="9" t="n">
        <v>12</v>
      </c>
    </row>
    <row r="16" customFormat="false" ht="15" hidden="false" customHeight="false" outlineLevel="0" collapsed="false">
      <c r="B16" s="10" t="s">
        <v>20</v>
      </c>
      <c r="C16" s="11" t="s">
        <v>21</v>
      </c>
      <c r="D16" s="11" t="n">
        <v>12</v>
      </c>
      <c r="E16" s="11" t="n">
        <v>12</v>
      </c>
      <c r="F16" s="11" t="n">
        <v>12</v>
      </c>
      <c r="G16" s="11" t="n">
        <v>12</v>
      </c>
      <c r="H16" s="11" t="n">
        <v>12</v>
      </c>
    </row>
    <row r="18" customFormat="false" ht="15" hidden="false" customHeight="false" outlineLevel="0" collapsed="false">
      <c r="B18" s="7" t="s">
        <v>22</v>
      </c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B19" s="8" t="s">
        <v>23</v>
      </c>
      <c r="C19" s="9" t="s">
        <v>17</v>
      </c>
      <c r="D19" s="9" t="n">
        <v>12</v>
      </c>
      <c r="E19" s="9" t="s">
        <v>11</v>
      </c>
      <c r="F19" s="9" t="s">
        <v>11</v>
      </c>
      <c r="G19" s="9" t="s">
        <v>11</v>
      </c>
      <c r="H19" s="9" t="s">
        <v>11</v>
      </c>
    </row>
    <row r="20" customFormat="false" ht="15" hidden="false" customHeight="false" outlineLevel="0" collapsed="false">
      <c r="B20" s="8" t="s">
        <v>24</v>
      </c>
      <c r="C20" s="9" t="s">
        <v>14</v>
      </c>
      <c r="D20" s="9"/>
      <c r="E20" s="9" t="s">
        <v>11</v>
      </c>
      <c r="F20" s="9" t="s">
        <v>11</v>
      </c>
      <c r="G20" s="9" t="s">
        <v>11</v>
      </c>
      <c r="H20" s="9" t="s">
        <v>11</v>
      </c>
    </row>
    <row r="21" customFormat="false" ht="15" hidden="false" customHeight="false" outlineLevel="0" collapsed="false">
      <c r="B21" s="8" t="s">
        <v>25</v>
      </c>
      <c r="C21" s="9" t="s">
        <v>14</v>
      </c>
      <c r="D21" s="9" t="n">
        <v>1</v>
      </c>
      <c r="E21" s="9" t="s">
        <v>11</v>
      </c>
      <c r="F21" s="9" t="s">
        <v>11</v>
      </c>
      <c r="G21" s="9" t="s">
        <v>11</v>
      </c>
      <c r="H21" s="9" t="s">
        <v>11</v>
      </c>
    </row>
    <row r="23" customFormat="false" ht="15" hidden="false" customHeight="false" outlineLevel="0" collapsed="false">
      <c r="B23" s="12" t="s">
        <v>26</v>
      </c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B24" s="8" t="s">
        <v>27</v>
      </c>
      <c r="C24" s="9" t="s">
        <v>17</v>
      </c>
      <c r="D24" s="9"/>
      <c r="E24" s="9" t="n">
        <v>4</v>
      </c>
      <c r="F24" s="9" t="n">
        <v>2</v>
      </c>
      <c r="G24" s="9" t="n">
        <v>3</v>
      </c>
      <c r="H24" s="9" t="n">
        <v>3</v>
      </c>
    </row>
    <row r="25" customFormat="false" ht="15" hidden="false" customHeight="false" outlineLevel="0" collapsed="false">
      <c r="B25" s="13" t="s">
        <v>28</v>
      </c>
      <c r="C25" s="14"/>
      <c r="D25" s="14"/>
      <c r="E25" s="14"/>
      <c r="F25" s="14"/>
      <c r="G25" s="14"/>
      <c r="H25" s="14"/>
    </row>
    <row r="28" customFormat="false" ht="15" hidden="false" customHeight="false" outlineLevel="0" collapsed="false">
      <c r="B28" s="15" t="s">
        <v>29</v>
      </c>
      <c r="C28" s="15"/>
      <c r="D28" s="15"/>
      <c r="E28" s="16" t="n">
        <f aca="false">E5+F5</f>
        <v>6000000</v>
      </c>
      <c r="F28" s="15"/>
      <c r="G28" s="16" t="n">
        <f aca="false">G5+H5</f>
        <v>6000000</v>
      </c>
      <c r="H28" s="15"/>
    </row>
    <row r="29" customFormat="false" ht="15" hidden="false" customHeight="false" outlineLevel="0" collapsed="false">
      <c r="B29" s="17" t="s">
        <v>30</v>
      </c>
      <c r="C29" s="11"/>
      <c r="D29" s="11"/>
      <c r="E29" s="18" t="n">
        <f aca="false">E28*0.1</f>
        <v>600000</v>
      </c>
      <c r="F29" s="11"/>
      <c r="G29" s="18" t="n">
        <f aca="false">G28*0.1</f>
        <v>600000</v>
      </c>
      <c r="H29" s="11"/>
    </row>
    <row r="30" customFormat="false" ht="15" hidden="false" customHeight="false" outlineLevel="0" collapsed="false">
      <c r="B30" s="19" t="s">
        <v>31</v>
      </c>
      <c r="C30" s="19"/>
      <c r="D30" s="19"/>
      <c r="E30" s="20" t="n">
        <f aca="false">E28+E29</f>
        <v>6600000</v>
      </c>
      <c r="F30" s="19"/>
      <c r="G30" s="20" t="n">
        <f aca="false">G28+G29</f>
        <v>6600000</v>
      </c>
      <c r="H30" s="19"/>
    </row>
    <row r="31" customFormat="false" ht="15" hidden="false" customHeight="false" outlineLevel="0" collapsed="false">
      <c r="B31" s="21" t="s">
        <v>32</v>
      </c>
      <c r="C31" s="21"/>
      <c r="D31" s="21"/>
      <c r="E31" s="22" t="n">
        <f aca="false">E30*3</f>
        <v>19800000</v>
      </c>
      <c r="F31" s="21"/>
      <c r="G31" s="22" t="n">
        <f aca="false">G30*3</f>
        <v>19800000</v>
      </c>
      <c r="H31" s="21"/>
    </row>
    <row r="33" customFormat="false" ht="15" hidden="false" customHeight="false" outlineLevel="0" collapsed="false">
      <c r="B33" s="23" t="s">
        <v>33</v>
      </c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B34" s="8" t="s">
        <v>34</v>
      </c>
      <c r="C34" s="9"/>
      <c r="D34" s="9"/>
      <c r="E34" s="24" t="n">
        <f aca="false">E5/12</f>
        <v>333333.333333333</v>
      </c>
      <c r="F34" s="24" t="n">
        <f aca="false">F5/12</f>
        <v>166666.666666667</v>
      </c>
      <c r="G34" s="24" t="n">
        <f aca="false">G5/12</f>
        <v>291666.666666667</v>
      </c>
      <c r="H34" s="24" t="n">
        <f aca="false">H5/12</f>
        <v>208333.333333333</v>
      </c>
    </row>
    <row r="35" customFormat="false" ht="15" hidden="false" customHeight="false" outlineLevel="0" collapsed="false">
      <c r="B35" s="8" t="s">
        <v>35</v>
      </c>
      <c r="C35" s="9"/>
      <c r="D35" s="9"/>
      <c r="E35" s="24" t="n">
        <f aca="false">E5/12</f>
        <v>333333.333333333</v>
      </c>
      <c r="F35" s="24" t="n">
        <f aca="false">F5/12</f>
        <v>166666.666666667</v>
      </c>
      <c r="G35" s="24" t="n">
        <f aca="false">G5/12</f>
        <v>291666.666666667</v>
      </c>
      <c r="H35" s="24" t="n">
        <f aca="false">H5/12</f>
        <v>208333.333333333</v>
      </c>
    </row>
    <row r="36" customFormat="false" ht="15" hidden="false" customHeight="false" outlineLevel="0" collapsed="false">
      <c r="B36" s="13" t="s">
        <v>36</v>
      </c>
      <c r="C36" s="13"/>
      <c r="D36" s="13"/>
      <c r="E36" s="13"/>
      <c r="F36" s="13"/>
      <c r="G36" s="13"/>
      <c r="H36" s="13"/>
    </row>
    <row r="38" customFormat="false" ht="15" hidden="false" customHeight="false" outlineLevel="0" collapsed="false">
      <c r="B38" s="7" t="s">
        <v>37</v>
      </c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B39" s="8" t="s">
        <v>38</v>
      </c>
      <c r="C39" s="9"/>
      <c r="D39" s="9"/>
      <c r="E39" s="25" t="n">
        <f aca="false">E5/E28</f>
        <v>0.666666666666667</v>
      </c>
      <c r="F39" s="9"/>
      <c r="G39" s="25" t="n">
        <f aca="false">G5/G28</f>
        <v>0.583333333333333</v>
      </c>
      <c r="H39" s="9"/>
    </row>
    <row r="40" customFormat="false" ht="15" hidden="false" customHeight="false" outlineLevel="0" collapsed="false">
      <c r="B40" s="8" t="s">
        <v>39</v>
      </c>
      <c r="C40" s="9"/>
      <c r="D40" s="9"/>
      <c r="E40" s="25" t="n">
        <f aca="false">F5/E28</f>
        <v>0.333333333333333</v>
      </c>
      <c r="F40" s="9"/>
      <c r="G40" s="25" t="n">
        <f aca="false">H5/G28</f>
        <v>0.416666666666667</v>
      </c>
      <c r="H40" s="9"/>
    </row>
    <row r="41" customFormat="false" ht="12.65" hidden="false" customHeight="false" outlineLevel="0" collapsed="false">
      <c r="B41" s="8" t="s">
        <v>40</v>
      </c>
      <c r="C41" s="9"/>
      <c r="D41" s="9"/>
      <c r="E41" s="26" t="s">
        <v>41</v>
      </c>
      <c r="F41" s="26" t="s">
        <v>42</v>
      </c>
      <c r="G41" s="26" t="s">
        <v>43</v>
      </c>
      <c r="H41" s="26" t="s">
        <v>43</v>
      </c>
    </row>
    <row r="42" customFormat="false" ht="15" hidden="false" customHeight="false" outlineLevel="0" collapsed="false">
      <c r="B42" s="27" t="s">
        <v>44</v>
      </c>
      <c r="C42" s="21"/>
      <c r="D42" s="21"/>
      <c r="E42" s="28" t="s">
        <v>45</v>
      </c>
      <c r="F42" s="28"/>
      <c r="G42" s="28" t="s">
        <v>46</v>
      </c>
      <c r="H42" s="28"/>
    </row>
  </sheetData>
  <mergeCells count="4">
    <mergeCell ref="B1:H1"/>
    <mergeCell ref="B2:H2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6" min="5" style="0" width="22"/>
  </cols>
  <sheetData>
    <row r="1" customFormat="false" ht="17.35" hidden="false" customHeight="false" outlineLevel="0" collapsed="false">
      <c r="B1" s="1" t="s">
        <v>47</v>
      </c>
      <c r="C1" s="1"/>
      <c r="D1" s="1"/>
      <c r="E1" s="1"/>
      <c r="F1" s="1"/>
    </row>
    <row r="2" customFormat="false" ht="15" hidden="false" customHeight="false" outlineLevel="0" collapsed="false">
      <c r="B2" s="2" t="s">
        <v>48</v>
      </c>
      <c r="C2" s="2"/>
      <c r="D2" s="2"/>
      <c r="E2" s="2"/>
      <c r="F2" s="2"/>
    </row>
    <row r="4" customFormat="false" ht="15" hidden="false" customHeight="false" outlineLevel="0" collapsed="false">
      <c r="B4" s="3" t="s">
        <v>49</v>
      </c>
      <c r="C4" s="3" t="s">
        <v>2</v>
      </c>
      <c r="D4" s="3" t="s">
        <v>50</v>
      </c>
      <c r="E4" s="4" t="s">
        <v>51</v>
      </c>
      <c r="F4" s="4" t="s">
        <v>52</v>
      </c>
    </row>
    <row r="6" customFormat="false" ht="15" hidden="false" customHeight="false" outlineLevel="0" collapsed="false">
      <c r="B6" s="29" t="s">
        <v>53</v>
      </c>
    </row>
    <row r="7" customFormat="false" ht="15" hidden="false" customHeight="false" outlineLevel="0" collapsed="false">
      <c r="B7" s="29"/>
      <c r="C7" s="7" t="s">
        <v>8</v>
      </c>
      <c r="D7" s="30"/>
      <c r="E7" s="30"/>
      <c r="F7" s="30"/>
    </row>
    <row r="8" customFormat="false" ht="15" hidden="false" customHeight="false" outlineLevel="0" collapsed="false">
      <c r="B8" s="29"/>
      <c r="C8" s="8" t="s">
        <v>54</v>
      </c>
      <c r="D8" s="9" t="s">
        <v>55</v>
      </c>
      <c r="E8" s="9" t="s">
        <v>11</v>
      </c>
      <c r="F8" s="9" t="s">
        <v>11</v>
      </c>
    </row>
    <row r="9" customFormat="false" ht="15" hidden="false" customHeight="false" outlineLevel="0" collapsed="false">
      <c r="B9" s="29"/>
      <c r="C9" s="8" t="s">
        <v>56</v>
      </c>
      <c r="D9" s="9" t="s">
        <v>57</v>
      </c>
      <c r="E9" s="9" t="s">
        <v>11</v>
      </c>
      <c r="F9" s="9" t="s">
        <v>11</v>
      </c>
    </row>
    <row r="10" customFormat="false" ht="15" hidden="false" customHeight="false" outlineLevel="0" collapsed="false">
      <c r="B10" s="29"/>
      <c r="C10" s="8" t="s">
        <v>13</v>
      </c>
      <c r="D10" s="9" t="s">
        <v>58</v>
      </c>
      <c r="E10" s="9" t="s">
        <v>11</v>
      </c>
      <c r="F10" s="9" t="s">
        <v>11</v>
      </c>
    </row>
    <row r="11" customFormat="false" ht="15" hidden="false" customHeight="false" outlineLevel="0" collapsed="false">
      <c r="B11" s="29"/>
      <c r="C11" s="7" t="s">
        <v>15</v>
      </c>
      <c r="D11" s="30"/>
      <c r="E11" s="30"/>
      <c r="F11" s="30"/>
    </row>
    <row r="12" customFormat="false" ht="15" hidden="false" customHeight="false" outlineLevel="0" collapsed="false">
      <c r="B12" s="29"/>
      <c r="C12" s="8" t="s">
        <v>16</v>
      </c>
      <c r="D12" s="26" t="s">
        <v>59</v>
      </c>
      <c r="E12" s="26" t="s">
        <v>60</v>
      </c>
      <c r="F12" s="26" t="s">
        <v>60</v>
      </c>
    </row>
    <row r="13" customFormat="false" ht="15" hidden="false" customHeight="false" outlineLevel="0" collapsed="false">
      <c r="B13" s="29"/>
      <c r="C13" s="8" t="s">
        <v>18</v>
      </c>
      <c r="D13" s="26" t="s">
        <v>59</v>
      </c>
      <c r="E13" s="26" t="s">
        <v>60</v>
      </c>
      <c r="F13" s="26" t="s">
        <v>60</v>
      </c>
    </row>
    <row r="14" customFormat="false" ht="15" hidden="false" customHeight="false" outlineLevel="0" collapsed="false">
      <c r="B14" s="29"/>
      <c r="C14" s="8" t="s">
        <v>19</v>
      </c>
      <c r="D14" s="26" t="s">
        <v>59</v>
      </c>
      <c r="E14" s="26" t="s">
        <v>60</v>
      </c>
      <c r="F14" s="26" t="s">
        <v>60</v>
      </c>
    </row>
    <row r="15" customFormat="false" ht="15" hidden="false" customHeight="false" outlineLevel="0" collapsed="false">
      <c r="B15" s="29"/>
      <c r="C15" s="7" t="s">
        <v>22</v>
      </c>
      <c r="D15" s="30"/>
      <c r="E15" s="30"/>
      <c r="F15" s="30"/>
    </row>
    <row r="16" customFormat="false" ht="15" hidden="false" customHeight="false" outlineLevel="0" collapsed="false">
      <c r="B16" s="29"/>
      <c r="C16" s="8" t="s">
        <v>61</v>
      </c>
      <c r="D16" s="9" t="s">
        <v>62</v>
      </c>
      <c r="E16" s="9" t="s">
        <v>11</v>
      </c>
      <c r="F16" s="9" t="s">
        <v>11</v>
      </c>
    </row>
    <row r="17" customFormat="false" ht="15" hidden="false" customHeight="false" outlineLevel="0" collapsed="false">
      <c r="B17" s="29"/>
      <c r="C17" s="8" t="s">
        <v>63</v>
      </c>
      <c r="D17" s="9" t="s">
        <v>58</v>
      </c>
      <c r="E17" s="9" t="s">
        <v>11</v>
      </c>
      <c r="F17" s="9" t="s">
        <v>11</v>
      </c>
    </row>
    <row r="18" customFormat="false" ht="15" hidden="false" customHeight="false" outlineLevel="0" collapsed="false">
      <c r="B18" s="29"/>
      <c r="C18" s="12" t="s">
        <v>64</v>
      </c>
      <c r="D18" s="31"/>
      <c r="E18" s="31"/>
      <c r="F18" s="31"/>
    </row>
    <row r="19" customFormat="false" ht="15" hidden="false" customHeight="false" outlineLevel="0" collapsed="false">
      <c r="B19" s="29"/>
      <c r="C19" s="8" t="s">
        <v>65</v>
      </c>
      <c r="D19" s="9" t="s">
        <v>57</v>
      </c>
      <c r="E19" s="26" t="s">
        <v>66</v>
      </c>
      <c r="F19" s="26" t="s">
        <v>67</v>
      </c>
    </row>
    <row r="20" customFormat="false" ht="15" hidden="false" customHeight="false" outlineLevel="0" collapsed="false">
      <c r="B20" s="29"/>
      <c r="C20" s="8"/>
      <c r="D20" s="9"/>
      <c r="E20" s="9"/>
      <c r="F20" s="9"/>
    </row>
    <row r="21" customFormat="false" ht="15" hidden="false" customHeight="false" outlineLevel="0" collapsed="false">
      <c r="B21" s="29"/>
      <c r="C21" s="32" t="s">
        <v>68</v>
      </c>
      <c r="D21" s="5"/>
      <c r="E21" s="33" t="s">
        <v>69</v>
      </c>
      <c r="F21" s="33" t="s">
        <v>70</v>
      </c>
    </row>
    <row r="23" customFormat="false" ht="15" hidden="false" customHeight="true" outlineLevel="0" collapsed="false">
      <c r="B23" s="34" t="s">
        <v>71</v>
      </c>
    </row>
    <row r="24" customFormat="false" ht="15" hidden="false" customHeight="false" outlineLevel="0" collapsed="false">
      <c r="B24" s="34"/>
      <c r="C24" s="7" t="s">
        <v>8</v>
      </c>
      <c r="D24" s="30"/>
      <c r="E24" s="30"/>
      <c r="F24" s="30"/>
    </row>
    <row r="25" customFormat="false" ht="15" hidden="false" customHeight="false" outlineLevel="0" collapsed="false">
      <c r="B25" s="34"/>
      <c r="C25" s="8" t="s">
        <v>54</v>
      </c>
      <c r="D25" s="9" t="s">
        <v>55</v>
      </c>
      <c r="E25" s="9" t="s">
        <v>11</v>
      </c>
      <c r="F25" s="9" t="s">
        <v>11</v>
      </c>
    </row>
    <row r="26" customFormat="false" ht="15" hidden="false" customHeight="false" outlineLevel="0" collapsed="false">
      <c r="B26" s="34"/>
      <c r="C26" s="8" t="s">
        <v>56</v>
      </c>
      <c r="D26" s="9" t="s">
        <v>57</v>
      </c>
      <c r="E26" s="9" t="s">
        <v>11</v>
      </c>
      <c r="F26" s="9" t="s">
        <v>11</v>
      </c>
    </row>
    <row r="27" customFormat="false" ht="15" hidden="false" customHeight="false" outlineLevel="0" collapsed="false">
      <c r="B27" s="34"/>
      <c r="C27" s="8" t="s">
        <v>13</v>
      </c>
      <c r="D27" s="9" t="s">
        <v>58</v>
      </c>
      <c r="E27" s="9" t="s">
        <v>11</v>
      </c>
      <c r="F27" s="9" t="s">
        <v>11</v>
      </c>
    </row>
    <row r="28" customFormat="false" ht="15" hidden="false" customHeight="false" outlineLevel="0" collapsed="false">
      <c r="B28" s="34"/>
      <c r="C28" s="7" t="s">
        <v>15</v>
      </c>
      <c r="D28" s="30"/>
      <c r="E28" s="30"/>
      <c r="F28" s="30"/>
    </row>
    <row r="29" customFormat="false" ht="15" hidden="false" customHeight="false" outlineLevel="0" collapsed="false">
      <c r="B29" s="34"/>
      <c r="C29" s="8" t="s">
        <v>16</v>
      </c>
      <c r="D29" s="26" t="s">
        <v>59</v>
      </c>
      <c r="E29" s="26" t="s">
        <v>60</v>
      </c>
      <c r="F29" s="26" t="s">
        <v>60</v>
      </c>
    </row>
    <row r="30" customFormat="false" ht="15" hidden="false" customHeight="false" outlineLevel="0" collapsed="false">
      <c r="B30" s="34"/>
      <c r="C30" s="8" t="s">
        <v>18</v>
      </c>
      <c r="D30" s="26" t="s">
        <v>59</v>
      </c>
      <c r="E30" s="26" t="s">
        <v>60</v>
      </c>
      <c r="F30" s="26" t="s">
        <v>60</v>
      </c>
    </row>
    <row r="31" customFormat="false" ht="15" hidden="false" customHeight="false" outlineLevel="0" collapsed="false">
      <c r="B31" s="34"/>
      <c r="C31" s="8" t="s">
        <v>19</v>
      </c>
      <c r="D31" s="26" t="s">
        <v>59</v>
      </c>
      <c r="E31" s="26" t="s">
        <v>60</v>
      </c>
      <c r="F31" s="26" t="s">
        <v>60</v>
      </c>
    </row>
    <row r="32" customFormat="false" ht="15" hidden="false" customHeight="false" outlineLevel="0" collapsed="false">
      <c r="B32" s="34"/>
      <c r="C32" s="7" t="s">
        <v>22</v>
      </c>
      <c r="D32" s="30"/>
      <c r="E32" s="30"/>
      <c r="F32" s="30"/>
    </row>
    <row r="33" customFormat="false" ht="15" hidden="false" customHeight="false" outlineLevel="0" collapsed="false">
      <c r="B33" s="34"/>
      <c r="C33" s="8" t="s">
        <v>61</v>
      </c>
      <c r="D33" s="9" t="s">
        <v>62</v>
      </c>
      <c r="E33" s="9" t="s">
        <v>11</v>
      </c>
      <c r="F33" s="9" t="s">
        <v>11</v>
      </c>
    </row>
    <row r="34" customFormat="false" ht="15" hidden="false" customHeight="false" outlineLevel="0" collapsed="false">
      <c r="B34" s="34"/>
      <c r="C34" s="8" t="s">
        <v>63</v>
      </c>
      <c r="D34" s="9" t="s">
        <v>58</v>
      </c>
      <c r="E34" s="9" t="s">
        <v>11</v>
      </c>
      <c r="F34" s="9" t="s">
        <v>11</v>
      </c>
    </row>
    <row r="35" customFormat="false" ht="15" hidden="false" customHeight="false" outlineLevel="0" collapsed="false">
      <c r="B35" s="34"/>
      <c r="C35" s="12" t="s">
        <v>64</v>
      </c>
      <c r="D35" s="31"/>
      <c r="E35" s="31"/>
      <c r="F35" s="31"/>
    </row>
    <row r="36" customFormat="false" ht="15" hidden="false" customHeight="false" outlineLevel="0" collapsed="false">
      <c r="B36" s="34"/>
      <c r="C36" s="8" t="s">
        <v>65</v>
      </c>
      <c r="D36" s="9" t="s">
        <v>57</v>
      </c>
      <c r="E36" s="26" t="s">
        <v>72</v>
      </c>
      <c r="F36" s="26" t="s">
        <v>67</v>
      </c>
    </row>
    <row r="37" customFormat="false" ht="15" hidden="false" customHeight="false" outlineLevel="0" collapsed="false">
      <c r="B37" s="34"/>
      <c r="C37" s="8"/>
      <c r="D37" s="9"/>
      <c r="E37" s="9"/>
      <c r="F37" s="9"/>
    </row>
    <row r="38" customFormat="false" ht="15" hidden="false" customHeight="false" outlineLevel="0" collapsed="false">
      <c r="B38" s="34"/>
      <c r="C38" s="32" t="s">
        <v>68</v>
      </c>
      <c r="D38" s="5"/>
      <c r="E38" s="33" t="s">
        <v>73</v>
      </c>
      <c r="F38" s="33" t="s">
        <v>74</v>
      </c>
    </row>
    <row r="40" customFormat="false" ht="15" hidden="false" customHeight="false" outlineLevel="0" collapsed="false">
      <c r="C40" s="15" t="s">
        <v>75</v>
      </c>
      <c r="D40" s="15"/>
      <c r="E40" s="35" t="s">
        <v>76</v>
      </c>
      <c r="F40" s="35" t="s">
        <v>76</v>
      </c>
    </row>
  </sheetData>
  <mergeCells count="4">
    <mergeCell ref="B1:F1"/>
    <mergeCell ref="B2:F2"/>
    <mergeCell ref="B6:B21"/>
    <mergeCell ref="B23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B1" s="1" t="s">
        <v>77</v>
      </c>
      <c r="C1" s="1"/>
      <c r="D1" s="1"/>
      <c r="E1" s="1"/>
    </row>
    <row r="3" customFormat="false" ht="15" hidden="false" customHeight="false" outlineLevel="0" collapsed="false">
      <c r="B3" s="3" t="s">
        <v>78</v>
      </c>
      <c r="C3" s="3" t="s">
        <v>79</v>
      </c>
      <c r="D3" s="3" t="s">
        <v>3</v>
      </c>
      <c r="E3" s="3" t="s">
        <v>80</v>
      </c>
    </row>
    <row r="4" customFormat="false" ht="15" hidden="false" customHeight="false" outlineLevel="0" collapsed="false">
      <c r="B4" s="8" t="s">
        <v>81</v>
      </c>
      <c r="C4" s="36" t="n">
        <v>250000</v>
      </c>
      <c r="D4" s="9" t="s">
        <v>82</v>
      </c>
      <c r="E4" s="9" t="s">
        <v>83</v>
      </c>
    </row>
    <row r="5" customFormat="false" ht="15" hidden="false" customHeight="false" outlineLevel="0" collapsed="false">
      <c r="B5" s="8" t="s">
        <v>84</v>
      </c>
      <c r="C5" s="36" t="n">
        <v>400000</v>
      </c>
      <c r="D5" s="9" t="s">
        <v>82</v>
      </c>
      <c r="E5" s="9" t="s">
        <v>85</v>
      </c>
    </row>
    <row r="6" customFormat="false" ht="15" hidden="false" customHeight="false" outlineLevel="0" collapsed="false">
      <c r="B6" s="8" t="s">
        <v>86</v>
      </c>
      <c r="C6" s="36" t="n">
        <v>650000</v>
      </c>
      <c r="D6" s="9" t="s">
        <v>82</v>
      </c>
      <c r="E6" s="9" t="s">
        <v>87</v>
      </c>
    </row>
    <row r="7" customFormat="false" ht="15" hidden="false" customHeight="false" outlineLevel="0" collapsed="false">
      <c r="B7" s="8"/>
      <c r="C7" s="9"/>
      <c r="D7" s="9"/>
      <c r="E7" s="9"/>
    </row>
    <row r="8" customFormat="false" ht="15" hidden="false" customHeight="false" outlineLevel="0" collapsed="false">
      <c r="B8" s="8" t="s">
        <v>88</v>
      </c>
      <c r="C8" s="36" t="n">
        <v>150000</v>
      </c>
      <c r="D8" s="9" t="s">
        <v>82</v>
      </c>
      <c r="E8" s="9" t="s">
        <v>89</v>
      </c>
    </row>
    <row r="9" customFormat="false" ht="15" hidden="false" customHeight="false" outlineLevel="0" collapsed="false">
      <c r="B9" s="8" t="s">
        <v>90</v>
      </c>
      <c r="C9" s="36" t="n">
        <v>300000</v>
      </c>
      <c r="D9" s="9" t="s">
        <v>82</v>
      </c>
      <c r="E9" s="9" t="s">
        <v>91</v>
      </c>
    </row>
    <row r="10" customFormat="false" ht="15" hidden="false" customHeight="false" outlineLevel="0" collapsed="false">
      <c r="B10" s="8"/>
      <c r="C10" s="9"/>
      <c r="D10" s="9"/>
      <c r="E10" s="9"/>
    </row>
    <row r="11" customFormat="false" ht="15" hidden="false" customHeight="false" outlineLevel="0" collapsed="false">
      <c r="B11" s="8" t="s">
        <v>92</v>
      </c>
      <c r="C11" s="36" t="n">
        <v>800000</v>
      </c>
      <c r="D11" s="9" t="s">
        <v>14</v>
      </c>
      <c r="E11" s="9" t="s">
        <v>93</v>
      </c>
    </row>
    <row r="12" customFormat="false" ht="15" hidden="false" customHeight="false" outlineLevel="0" collapsed="false">
      <c r="B12" s="8" t="s">
        <v>94</v>
      </c>
      <c r="C12" s="36" t="n">
        <v>700000</v>
      </c>
      <c r="D12" s="9" t="s">
        <v>95</v>
      </c>
      <c r="E12" s="26" t="s">
        <v>96</v>
      </c>
    </row>
    <row r="13" customFormat="false" ht="15" hidden="false" customHeight="false" outlineLevel="0" collapsed="false">
      <c r="B13" s="8" t="s">
        <v>97</v>
      </c>
      <c r="C13" s="36" t="n">
        <v>75000</v>
      </c>
      <c r="D13" s="9" t="s">
        <v>82</v>
      </c>
      <c r="E13" s="9" t="s">
        <v>98</v>
      </c>
    </row>
    <row r="14" customFormat="false" ht="15" hidden="false" customHeight="false" outlineLevel="0" collapsed="false">
      <c r="B14" s="8" t="s">
        <v>99</v>
      </c>
      <c r="C14" s="36" t="n">
        <v>125000</v>
      </c>
      <c r="D14" s="9" t="s">
        <v>100</v>
      </c>
      <c r="E14" s="26" t="s">
        <v>101</v>
      </c>
    </row>
    <row r="15" customFormat="false" ht="15" hidden="false" customHeight="false" outlineLevel="0" collapsed="false">
      <c r="B15" s="8"/>
      <c r="C15" s="9"/>
      <c r="D15" s="9"/>
      <c r="E15" s="9"/>
    </row>
    <row r="16" customFormat="false" ht="15" hidden="false" customHeight="false" outlineLevel="0" collapsed="false">
      <c r="B16" s="8" t="s">
        <v>102</v>
      </c>
      <c r="C16" s="36" t="n">
        <v>500000</v>
      </c>
      <c r="D16" s="9" t="s">
        <v>10</v>
      </c>
      <c r="E16" s="9" t="s">
        <v>103</v>
      </c>
    </row>
    <row r="17" customFormat="false" ht="15" hidden="false" customHeight="false" outlineLevel="0" collapsed="false">
      <c r="B17" s="8" t="s">
        <v>104</v>
      </c>
      <c r="C17" s="36" t="n">
        <v>1000000</v>
      </c>
      <c r="D17" s="9" t="s">
        <v>14</v>
      </c>
      <c r="E17" s="9" t="s">
        <v>105</v>
      </c>
    </row>
    <row r="18" customFormat="false" ht="15" hidden="false" customHeight="false" outlineLevel="0" collapsed="false">
      <c r="B18" s="8" t="s">
        <v>106</v>
      </c>
      <c r="C18" s="36" t="n">
        <v>300000</v>
      </c>
      <c r="D18" s="9" t="s">
        <v>14</v>
      </c>
      <c r="E18" s="9" t="s">
        <v>107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2026-02-15T03:51:02Z</dcterms:created>
  <dc:creator>openpyxl</dc:creator>
  <dc:description/>
  <dc:language>en-US</dc:language>
  <cp:lastModifiedBy/>
  <dcterms:modified xsi:type="dcterms:W3CDTF">2026-02-15T03:51:02Z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